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3\"/>
    </mc:Choice>
  </mc:AlternateContent>
  <xr:revisionPtr revIDLastSave="0" documentId="13_ncr:1_{AFC8CCD9-4757-49E6-AA25-CD5BF4B4A33E}" xr6:coauthVersionLast="47" xr6:coauthVersionMax="47" xr10:uidLastSave="{00000000-0000-0000-0000-000000000000}"/>
  <bookViews>
    <workbookView xWindow="28680" yWindow="-120" windowWidth="20730" windowHeight="11040" tabRatio="901" activeTab="7" xr2:uid="{00000000-000D-0000-FFFF-FFFF00000000}"/>
  </bookViews>
  <sheets>
    <sheet name="EB1" sheetId="133" r:id="rId1"/>
    <sheet name="RES_PRI" sheetId="135" r:id="rId2"/>
    <sheet name="Pri_COA" sheetId="132" r:id="rId3"/>
    <sheet name="Pri_GAS" sheetId="136" r:id="rId4"/>
    <sheet name="Pri_OIL" sheetId="137" r:id="rId5"/>
    <sheet name="Pri_RNW" sheetId="142" r:id="rId6"/>
    <sheet name="Pri_PP" sheetId="148" r:id="rId7"/>
    <sheet name="Pri_ELC" sheetId="152" r:id="rId8"/>
    <sheet name="Con_REF" sheetId="147" r:id="rId9"/>
    <sheet name="TOTCO2" sheetId="153" r:id="rId10"/>
  </sheets>
  <externalReferences>
    <externalReference r:id="rId11"/>
    <externalReference r:id="rId1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52" l="1"/>
  <c r="H16" i="152"/>
  <c r="H17" i="152"/>
  <c r="F12" i="153" l="1"/>
  <c r="D12" i="15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D13" i="133"/>
  <c r="E13" i="133"/>
  <c r="F13" i="133"/>
  <c r="G13" i="133"/>
  <c r="H13" i="133"/>
  <c r="I13" i="133"/>
  <c r="J13" i="133"/>
  <c r="K13" i="133"/>
  <c r="L13" i="133"/>
  <c r="M13" i="133"/>
  <c r="N13" i="133"/>
  <c r="O13" i="133"/>
  <c r="P13" i="133"/>
  <c r="Q13" i="133"/>
  <c r="R13" i="133"/>
  <c r="S13" i="133"/>
  <c r="T13" i="133"/>
  <c r="U13" i="133"/>
  <c r="D5" i="133"/>
  <c r="E5" i="133"/>
  <c r="G11" i="136" s="1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G13" i="132" s="1"/>
  <c r="E7" i="133"/>
  <c r="G15" i="136" s="1"/>
  <c r="F7" i="133"/>
  <c r="G15" i="137" s="1"/>
  <c r="G7" i="133"/>
  <c r="F24" i="148" s="1"/>
  <c r="H7" i="133"/>
  <c r="I7" i="133"/>
  <c r="F26" i="148" s="1"/>
  <c r="J7" i="133"/>
  <c r="F27" i="148" s="1"/>
  <c r="K7" i="133"/>
  <c r="F28" i="148" s="1"/>
  <c r="L7" i="133"/>
  <c r="F29" i="148" s="1"/>
  <c r="M7" i="133"/>
  <c r="F30" i="148" s="1"/>
  <c r="N7" i="133"/>
  <c r="O7" i="133"/>
  <c r="P7" i="133"/>
  <c r="Q7" i="133"/>
  <c r="R7" i="133"/>
  <c r="S7" i="133"/>
  <c r="T7" i="133"/>
  <c r="U7" i="133"/>
  <c r="F18" i="152" s="1"/>
  <c r="E5" i="142"/>
  <c r="E4" i="142"/>
  <c r="E3" i="142"/>
  <c r="E2" i="142"/>
  <c r="F13" i="142" s="1"/>
  <c r="D5" i="142"/>
  <c r="K8" i="142" s="1"/>
  <c r="D4" i="142"/>
  <c r="K7" i="142" s="1"/>
  <c r="D3" i="142"/>
  <c r="K6" i="142" s="1"/>
  <c r="C5" i="142"/>
  <c r="J8" i="142" s="1"/>
  <c r="D17" i="142" s="1"/>
  <c r="C4" i="142"/>
  <c r="J7" i="142" s="1"/>
  <c r="D16" i="142" s="1"/>
  <c r="C3" i="142"/>
  <c r="D2" i="152"/>
  <c r="C2" i="152"/>
  <c r="H18" i="152"/>
  <c r="H15" i="152"/>
  <c r="F2" i="152"/>
  <c r="E2" i="152"/>
  <c r="H17" i="148"/>
  <c r="E8" i="148"/>
  <c r="E7" i="148"/>
  <c r="E6" i="148"/>
  <c r="E5" i="148"/>
  <c r="E4" i="148"/>
  <c r="E3" i="148"/>
  <c r="E2" i="148"/>
  <c r="L25" i="148" s="1"/>
  <c r="D8" i="148"/>
  <c r="K11" i="148" s="1"/>
  <c r="D7" i="148"/>
  <c r="K10" i="148" s="1"/>
  <c r="D6" i="148"/>
  <c r="K9" i="148" s="1"/>
  <c r="D5" i="148"/>
  <c r="K8" i="148" s="1"/>
  <c r="D4" i="148"/>
  <c r="D3" i="148"/>
  <c r="K6" i="148" s="1"/>
  <c r="D2" i="148"/>
  <c r="K5" i="148" s="1"/>
  <c r="C8" i="148"/>
  <c r="J11" i="148" s="1"/>
  <c r="C7" i="148"/>
  <c r="C29" i="148" s="1"/>
  <c r="C6" i="148"/>
  <c r="D21" i="148" s="1"/>
  <c r="C5" i="148"/>
  <c r="J8" i="148" s="1"/>
  <c r="C4" i="148"/>
  <c r="J7" i="148" s="1"/>
  <c r="C3" i="148"/>
  <c r="D18" i="148" s="1"/>
  <c r="C2" i="148"/>
  <c r="D17" i="148" s="1"/>
  <c r="H24" i="148"/>
  <c r="F2" i="148"/>
  <c r="D18" i="147"/>
  <c r="D17" i="147"/>
  <c r="D16" i="147"/>
  <c r="D15" i="147"/>
  <c r="D14" i="147"/>
  <c r="D13" i="147"/>
  <c r="D12" i="147"/>
  <c r="C12" i="147"/>
  <c r="L12" i="147"/>
  <c r="M12" i="147" s="1"/>
  <c r="O12" i="147"/>
  <c r="E11" i="147"/>
  <c r="G2" i="147"/>
  <c r="E2" i="147"/>
  <c r="N12" i="147" s="1"/>
  <c r="F2" i="142"/>
  <c r="H14" i="142"/>
  <c r="D2" i="142"/>
  <c r="K5" i="142" s="1"/>
  <c r="C2" i="142"/>
  <c r="J5" i="142" s="1"/>
  <c r="D14" i="142" s="1"/>
  <c r="E2" i="137"/>
  <c r="N12" i="137" s="1"/>
  <c r="F2" i="137"/>
  <c r="E2" i="136"/>
  <c r="M14" i="136" s="1"/>
  <c r="F2" i="136"/>
  <c r="E2" i="132"/>
  <c r="F2" i="132"/>
  <c r="I11" i="137"/>
  <c r="I11" i="136"/>
  <c r="I11" i="132"/>
  <c r="D2" i="137"/>
  <c r="L5" i="137" s="1"/>
  <c r="C2" i="137"/>
  <c r="K5" i="137" s="1"/>
  <c r="I15" i="137"/>
  <c r="I14" i="137"/>
  <c r="D2" i="136"/>
  <c r="C2" i="136"/>
  <c r="K5" i="136" s="1"/>
  <c r="I15" i="136"/>
  <c r="I14" i="136"/>
  <c r="I13" i="132"/>
  <c r="I12" i="132"/>
  <c r="D2" i="132"/>
  <c r="L5" i="132" s="1"/>
  <c r="C2" i="132"/>
  <c r="K5" i="132" s="1"/>
  <c r="K15" i="136" l="1"/>
  <c r="L15" i="136" s="1"/>
  <c r="F10" i="136"/>
  <c r="K14" i="136"/>
  <c r="B14" i="136" s="1"/>
  <c r="F10" i="132"/>
  <c r="G12" i="136"/>
  <c r="K11" i="136"/>
  <c r="B11" i="136" s="1"/>
  <c r="M12" i="132"/>
  <c r="N12" i="132"/>
  <c r="M13" i="132"/>
  <c r="N13" i="132"/>
  <c r="E10" i="132"/>
  <c r="G10" i="132"/>
  <c r="L19" i="148"/>
  <c r="N11" i="132"/>
  <c r="K11" i="132"/>
  <c r="B11" i="132" s="1"/>
  <c r="E14" i="152"/>
  <c r="G12" i="147"/>
  <c r="M5" i="132"/>
  <c r="N15" i="137"/>
  <c r="L15" i="142"/>
  <c r="E10" i="136"/>
  <c r="B12" i="147"/>
  <c r="J15" i="142"/>
  <c r="B15" i="142" s="1"/>
  <c r="M11" i="136"/>
  <c r="D11" i="136"/>
  <c r="D13" i="136"/>
  <c r="D14" i="136"/>
  <c r="C15" i="136"/>
  <c r="M12" i="137"/>
  <c r="C28" i="148"/>
  <c r="F10" i="137"/>
  <c r="J17" i="152"/>
  <c r="B17" i="152" s="1"/>
  <c r="J16" i="152"/>
  <c r="B16" i="152" s="1"/>
  <c r="J15" i="152"/>
  <c r="B15" i="152" s="1"/>
  <c r="M13" i="137"/>
  <c r="L7" i="148"/>
  <c r="M5" i="137"/>
  <c r="J9" i="148"/>
  <c r="L30" i="148"/>
  <c r="J16" i="142"/>
  <c r="B16" i="142" s="1"/>
  <c r="L11" i="148"/>
  <c r="E10" i="137"/>
  <c r="M11" i="137"/>
  <c r="C30" i="148"/>
  <c r="L28" i="148"/>
  <c r="D23" i="148"/>
  <c r="J6" i="148"/>
  <c r="C18" i="152"/>
  <c r="D15" i="152"/>
  <c r="D17" i="152"/>
  <c r="D16" i="152"/>
  <c r="C27" i="148"/>
  <c r="L18" i="148"/>
  <c r="L16" i="152"/>
  <c r="L17" i="152"/>
  <c r="K11" i="137"/>
  <c r="B11" i="137" s="1"/>
  <c r="F16" i="148"/>
  <c r="K15" i="137"/>
  <c r="L15" i="137" s="1"/>
  <c r="N8" i="133"/>
  <c r="G14" i="133"/>
  <c r="U8" i="133"/>
  <c r="F8" i="133"/>
  <c r="J8" i="133"/>
  <c r="I8" i="133"/>
  <c r="T8" i="133"/>
  <c r="M14" i="133"/>
  <c r="O8" i="133"/>
  <c r="K8" i="133"/>
  <c r="H8" i="133"/>
  <c r="E8" i="133"/>
  <c r="I14" i="133"/>
  <c r="N14" i="133"/>
  <c r="D11" i="137"/>
  <c r="C15" i="137"/>
  <c r="D13" i="137"/>
  <c r="D12" i="137"/>
  <c r="J5" i="148"/>
  <c r="L6" i="142"/>
  <c r="K13" i="132"/>
  <c r="B13" i="132" s="1"/>
  <c r="N12" i="136"/>
  <c r="M8" i="133"/>
  <c r="M15" i="137"/>
  <c r="N14" i="136"/>
  <c r="K13" i="136"/>
  <c r="M14" i="142"/>
  <c r="N13" i="137"/>
  <c r="G12" i="137"/>
  <c r="L14" i="133"/>
  <c r="G10" i="137"/>
  <c r="N11" i="137"/>
  <c r="L5" i="136"/>
  <c r="E13" i="142"/>
  <c r="L8" i="148"/>
  <c r="G8" i="133"/>
  <c r="K14" i="133"/>
  <c r="L17" i="142"/>
  <c r="G11" i="137"/>
  <c r="V11" i="133"/>
  <c r="J14" i="133"/>
  <c r="C24" i="148"/>
  <c r="J18" i="152"/>
  <c r="B18" i="152" s="1"/>
  <c r="N14" i="137"/>
  <c r="L8" i="142"/>
  <c r="L6" i="148"/>
  <c r="C25" i="148"/>
  <c r="K14" i="137"/>
  <c r="B14" i="137" s="1"/>
  <c r="M15" i="136"/>
  <c r="U14" i="133"/>
  <c r="F14" i="133"/>
  <c r="K12" i="132"/>
  <c r="J6" i="142"/>
  <c r="D15" i="142" s="1"/>
  <c r="L16" i="142"/>
  <c r="N13" i="136"/>
  <c r="L8" i="133"/>
  <c r="M11" i="132"/>
  <c r="S14" i="133"/>
  <c r="V6" i="133"/>
  <c r="K7" i="148"/>
  <c r="J21" i="148"/>
  <c r="B21" i="148" s="1"/>
  <c r="J20" i="148"/>
  <c r="B20" i="148" s="1"/>
  <c r="J23" i="148"/>
  <c r="J18" i="148"/>
  <c r="G11" i="132"/>
  <c r="V5" i="133"/>
  <c r="V12" i="133"/>
  <c r="H14" i="133"/>
  <c r="V10" i="133"/>
  <c r="J22" i="148"/>
  <c r="L10" i="148"/>
  <c r="K12" i="136"/>
  <c r="F25" i="148"/>
  <c r="D8" i="133"/>
  <c r="E14" i="133"/>
  <c r="J30" i="148"/>
  <c r="J24" i="148"/>
  <c r="J29" i="148"/>
  <c r="J28" i="148"/>
  <c r="B28" i="148" s="1"/>
  <c r="J26" i="148"/>
  <c r="B26" i="148" s="1"/>
  <c r="D14" i="133"/>
  <c r="M15" i="142"/>
  <c r="M16" i="142"/>
  <c r="L14" i="142"/>
  <c r="M17" i="142"/>
  <c r="L5" i="142"/>
  <c r="L7" i="142"/>
  <c r="V7" i="133"/>
  <c r="S8" i="133"/>
  <c r="F14" i="152"/>
  <c r="L18" i="152"/>
  <c r="J27" i="148"/>
  <c r="B27" i="148" s="1"/>
  <c r="D12" i="132"/>
  <c r="D11" i="132"/>
  <c r="J25" i="148"/>
  <c r="L17" i="148"/>
  <c r="L22" i="148"/>
  <c r="L29" i="148"/>
  <c r="D14" i="137"/>
  <c r="D20" i="148"/>
  <c r="K12" i="137"/>
  <c r="K13" i="137"/>
  <c r="G10" i="136"/>
  <c r="N11" i="136"/>
  <c r="M5" i="136"/>
  <c r="M12" i="136"/>
  <c r="N15" i="136"/>
  <c r="M13" i="136"/>
  <c r="D19" i="148"/>
  <c r="C26" i="148"/>
  <c r="T14" i="133"/>
  <c r="V13" i="133"/>
  <c r="C13" i="132"/>
  <c r="J10" i="148"/>
  <c r="D22" i="148"/>
  <c r="L26" i="148"/>
  <c r="L27" i="148"/>
  <c r="L5" i="148"/>
  <c r="L20" i="148"/>
  <c r="E16" i="148"/>
  <c r="L23" i="148"/>
  <c r="L9" i="148"/>
  <c r="J19" i="148"/>
  <c r="B19" i="148" s="1"/>
  <c r="L21" i="148"/>
  <c r="L24" i="148"/>
  <c r="J17" i="148"/>
  <c r="B17" i="148" s="1"/>
  <c r="O14" i="133"/>
  <c r="J17" i="142"/>
  <c r="D12" i="136"/>
  <c r="J14" i="142"/>
  <c r="B14" i="142" s="1"/>
  <c r="M14" i="137"/>
  <c r="L14" i="136" l="1"/>
  <c r="B15" i="136"/>
  <c r="L11" i="136"/>
  <c r="K16" i="142"/>
  <c r="L11" i="132"/>
  <c r="L14" i="137"/>
  <c r="K21" i="148"/>
  <c r="B15" i="137"/>
  <c r="L11" i="137"/>
  <c r="K17" i="148"/>
  <c r="K15" i="142"/>
  <c r="K15" i="152"/>
  <c r="K27" i="148"/>
  <c r="K17" i="152"/>
  <c r="K16" i="152"/>
  <c r="L12" i="132"/>
  <c r="B12" i="132"/>
  <c r="L13" i="132"/>
  <c r="K18" i="152"/>
  <c r="L13" i="136"/>
  <c r="B13" i="136"/>
  <c r="K23" i="148"/>
  <c r="B23" i="148"/>
  <c r="K29" i="148"/>
  <c r="B29" i="148"/>
  <c r="V14" i="133"/>
  <c r="K28" i="148"/>
  <c r="K26" i="148"/>
  <c r="B24" i="148"/>
  <c r="K24" i="148"/>
  <c r="K14" i="142"/>
  <c r="K25" i="148"/>
  <c r="B25" i="148"/>
  <c r="K18" i="148"/>
  <c r="B18" i="148"/>
  <c r="B17" i="142"/>
  <c r="K17" i="142"/>
  <c r="B30" i="148"/>
  <c r="K30" i="148"/>
  <c r="B12" i="136"/>
  <c r="L12" i="136"/>
  <c r="K19" i="148"/>
  <c r="B22" i="148"/>
  <c r="K22" i="148"/>
  <c r="K20" i="148"/>
  <c r="B13" i="137"/>
  <c r="L13" i="137"/>
  <c r="B12" i="137"/>
  <c r="L12" i="137"/>
  <c r="V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3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3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3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3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4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4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4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4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1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1" authorId="2" shapeId="0" xr:uid="{00000000-0006-0000-06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1" authorId="1" shapeId="0" xr:uid="{00000000-0006-0000-06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1" authorId="2" shapeId="0" xr:uid="{00000000-0006-0000-06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2" authorId="2" shapeId="0" xr:uid="{00000000-0006-0000-06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4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4" authorId="2" shapeId="0" xr:uid="{00000000-0006-0000-07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4" authorId="1" shapeId="0" xr:uid="{00000000-0006-0000-07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4" authorId="2" shapeId="0" xr:uid="{00000000-0006-0000-07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5" authorId="2" shapeId="0" xr:uid="{00000000-0006-0000-07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8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8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8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2" authorId="2" shapeId="0" xr:uid="{00000000-0006-0000-08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2" authorId="2" shapeId="0" xr:uid="{00000000-0006-0000-08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2" authorId="1" shapeId="0" xr:uid="{00000000-0006-0000-08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2" authorId="2" shapeId="0" xr:uid="{00000000-0006-0000-08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3" authorId="2" shapeId="0" xr:uid="{00000000-0006-0000-08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9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9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9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9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9" authorId="2" shapeId="0" xr:uid="{00000000-0006-0000-09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9" authorId="1" shapeId="0" xr:uid="{00000000-0006-0000-09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9" authorId="2" shapeId="0" xr:uid="{00000000-0006-0000-09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0" authorId="2" shapeId="0" xr:uid="{00000000-0006-0000-09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10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10" authorId="1" shapeId="0" xr:uid="{00000000-0006-0000-0A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H10" authorId="2" shapeId="0" xr:uid="{00000000-0006-0000-0A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0" authorId="2" shapeId="0" xr:uid="{00000000-0006-0000-0A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10" authorId="2" shapeId="0" xr:uid="{00000000-0006-0000-0A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<sst xmlns="http://schemas.openxmlformats.org/spreadsheetml/2006/main" count="539" uniqueCount="152">
  <si>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</si>
  <si>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</si>
  <si>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</si>
  <si>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</si>
  <si>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</si>
  <si>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</si>
  <si>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</si>
  <si>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</si>
  <si>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</si>
  <si>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</si>
  <si>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</si>
  <si>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</si>
  <si>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</si>
  <si>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</si>
  <si>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</si>
  <si>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</si>
  <si>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</si>
  <si>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</si>
  <si>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</si>
  <si>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</si>
  <si>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</si>
  <si>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</si>
  <si>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</si>
  <si>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</si>
  <si>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</si>
  <si>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</si>
  <si>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</si>
  <si>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</si>
  <si>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</si>
  <si>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</si>
  <si>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</si>
  <si>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</si>
  <si>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</si>
  <si>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</si>
  <si>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</si>
  <si>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</si>
  <si>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</si>
  <si>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</si>
  <si>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</si>
  <si>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</si>
  <si>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</si>
  <si>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</si>
  <si>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</si>
  <si>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</si>
  <si>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</si>
  <si>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</si>
  <si>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</si>
  <si>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</si>
  <si>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</si>
  <si>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</si>
  <si>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</si>
  <si>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</si>
  <si>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</si>
  <si>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</si>
  <si>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</si>
  <si>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</si>
  <si>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</si>
  <si>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</si>
  <si>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</si>
  <si>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</si>
  <si>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</si>
  <si>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</si>
  <si>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</si>
  <si>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</si>
  <si>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REF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</si>
  <si>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</si>
  <si>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</si>
  <si>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</si>
  <si>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</si>
  <si>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</si>
  <si>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</si>
  <si>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</si>
  <si>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</si>
  <si>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*</t>
  </si>
  <si>
    <t>EFF</t>
  </si>
  <si>
    <t>Electricity</t>
  </si>
  <si>
    <t>Efficiency</t>
  </si>
  <si>
    <t>*Units</t>
  </si>
  <si>
    <t>Annual Production Bound</t>
  </si>
  <si>
    <t>Cost</t>
  </si>
  <si>
    <t>Default Units</t>
  </si>
  <si>
    <t>Currency</t>
  </si>
  <si>
    <t>Activity</t>
  </si>
  <si>
    <t>Existing</t>
  </si>
  <si>
    <t>E</t>
  </si>
  <si>
    <t>Emissions</t>
  </si>
  <si>
    <t>kt</t>
  </si>
  <si>
    <t>PRE</t>
  </si>
  <si>
    <t>Type</t>
  </si>
  <si>
    <t>Domestic Supply Curve Share - Step 1</t>
  </si>
  <si>
    <t>Domestic Supply Curve Share - Step 2</t>
  </si>
  <si>
    <t>Capacity unit</t>
  </si>
  <si>
    <t>DAYNITE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</si>
  <si>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</si>
  <si>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</si>
  <si>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</si>
  <si>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</si>
  <si>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</si>
  <si>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</si>
  <si>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</si>
  <si>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</si>
  <si>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</si>
  <si>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</si>
  <si>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</si>
  <si>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</si>
  <si>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Refinery</t>
  </si>
  <si>
    <t>Pja</t>
  </si>
  <si>
    <t>Activity Bound</t>
  </si>
  <si>
    <t>Output Share</t>
  </si>
  <si>
    <t>Share-O~UP</t>
  </si>
  <si>
    <t>NRGI</t>
  </si>
  <si>
    <t>Diesel oil</t>
  </si>
  <si>
    <t>PRI</t>
  </si>
  <si>
    <t>Data used in the template to buld the model</t>
  </si>
  <si>
    <t>User inputs</t>
  </si>
  <si>
    <t>Linked to the Energy Balance</t>
  </si>
  <si>
    <t>Reference Energy System (from VEDA-FE Go-To RES feature)</t>
  </si>
  <si>
    <t>Conversion (Refinery)</t>
  </si>
  <si>
    <t>Primary Supply (Mining, Import/Export)</t>
  </si>
  <si>
    <t>Petroleoum Products Imp/Exp</t>
  </si>
  <si>
    <t>TPS</t>
  </si>
  <si>
    <t>Total Primary Supply</t>
  </si>
  <si>
    <t>PRI template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</si>
  <si>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</si>
  <si>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</si>
  <si>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</si>
  <si>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</si>
  <si>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</si>
  <si>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</si>
  <si>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</si>
  <si>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</si>
  <si>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REG1</t>
  </si>
  <si>
    <t>CONVERSION</t>
  </si>
  <si>
    <t>ESC</t>
  </si>
  <si>
    <t>Energy Sector Consumption</t>
  </si>
  <si>
    <t>Electricity Plants</t>
  </si>
  <si>
    <t>HPL</t>
  </si>
  <si>
    <t>Heat Plants</t>
  </si>
  <si>
    <t>Petroleum Refineries</t>
  </si>
  <si>
    <t>Total Conversion</t>
  </si>
  <si>
    <t>Crude Oil</t>
  </si>
  <si>
    <t>~COMAGG</t>
  </si>
  <si>
    <t>AGRCO2</t>
  </si>
  <si>
    <t>COMCO2</t>
  </si>
  <si>
    <t>RSDCO2</t>
  </si>
  <si>
    <t>ELCCO2</t>
  </si>
  <si>
    <t>TRACO2</t>
  </si>
  <si>
    <t>INDCO2</t>
  </si>
  <si>
    <t>TOTCO2</t>
  </si>
  <si>
    <t>ENV</t>
  </si>
  <si>
    <t>Total CO2</t>
  </si>
  <si>
    <t>M$2021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</si>
</sst>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General_)"/>
    <numFmt numFmtId="166" formatCode="\Te\x\t"/>
    <numFmt numFmtId="167" formatCode="0.000"/>
    <numFmt numFmtId="168" formatCode="0.00000"/>
  </numFmts>
  <fonts count="28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8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16" applyNumberFormat="0" applyAlignment="0" applyProtection="0"/>
    <xf numFmtId="164" fontId="13" fillId="0" borderId="0" applyFont="0" applyFill="0" applyBorder="0" applyAlignment="0" applyProtection="0"/>
    <xf numFmtId="0" fontId="16" fillId="7" borderId="0" applyNumberFormat="0" applyBorder="0" applyAlignment="0" applyProtection="0"/>
    <xf numFmtId="0" fontId="17" fillId="8" borderId="16" applyNumberFormat="0" applyAlignment="0" applyProtection="0"/>
    <xf numFmtId="164" fontId="12" fillId="0" borderId="0" applyFont="0" applyFill="0" applyBorder="0" applyAlignment="0" applyProtection="0"/>
    <xf numFmtId="0" fontId="18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" fillId="0" borderId="0"/>
  </cellStyleXfs>
  <cellXfs count="109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0" xfId="12" applyFont="1" applyAlignment="1">
      <alignment horizontal="left"/>
    </xf>
    <xf numFmtId="1" fontId="0" fillId="0" borderId="0" xfId="0" applyNumberFormat="1"/>
    <xf numFmtId="0" fontId="14" fillId="5" borderId="0" xfId="3"/>
    <xf numFmtId="0" fontId="19" fillId="0" borderId="0" xfId="6" applyFont="1" applyFill="1"/>
    <xf numFmtId="0" fontId="19" fillId="10" borderId="0" xfId="6" applyFont="1" applyFill="1"/>
    <xf numFmtId="1" fontId="4" fillId="0" borderId="0" xfId="0" applyNumberFormat="1" applyFont="1"/>
    <xf numFmtId="0" fontId="21" fillId="3" borderId="2" xfId="1" applyFont="1" applyBorder="1" applyAlignment="1">
      <alignment horizontal="center" wrapText="1"/>
    </xf>
    <xf numFmtId="0" fontId="21" fillId="3" borderId="2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19" fillId="10" borderId="0" xfId="6" applyFont="1" applyFill="1" applyAlignment="1">
      <alignment wrapText="1"/>
    </xf>
    <xf numFmtId="0" fontId="0" fillId="0" borderId="0" xfId="0" applyAlignment="1">
      <alignment wrapText="1"/>
    </xf>
    <xf numFmtId="0" fontId="22" fillId="0" borderId="0" xfId="0" applyFont="1"/>
    <xf numFmtId="0" fontId="4" fillId="0" borderId="4" xfId="0" applyFont="1" applyBorder="1"/>
    <xf numFmtId="0" fontId="4" fillId="0" borderId="5" xfId="0" applyFont="1" applyBorder="1"/>
    <xf numFmtId="9" fontId="20" fillId="0" borderId="5" xfId="17" applyFont="1" applyBorder="1" applyAlignment="1"/>
    <xf numFmtId="0" fontId="4" fillId="0" borderId="6" xfId="0" applyFont="1" applyBorder="1"/>
    <xf numFmtId="9" fontId="20" fillId="0" borderId="6" xfId="17" applyFont="1" applyBorder="1" applyAlignment="1"/>
    <xf numFmtId="0" fontId="14" fillId="5" borderId="0" xfId="3" applyAlignment="1">
      <alignment wrapText="1"/>
    </xf>
    <xf numFmtId="2" fontId="4" fillId="0" borderId="0" xfId="0" applyNumberFormat="1" applyFo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2" fontId="4" fillId="0" borderId="0" xfId="10" applyNumberFormat="1"/>
    <xf numFmtId="0" fontId="23" fillId="0" borderId="0" xfId="6" applyFont="1" applyFill="1"/>
    <xf numFmtId="0" fontId="24" fillId="0" borderId="0" xfId="3" applyFont="1" applyFill="1" applyAlignment="1">
      <alignment wrapText="1"/>
    </xf>
    <xf numFmtId="0" fontId="14" fillId="0" borderId="0" xfId="3" applyFill="1"/>
    <xf numFmtId="1" fontId="4" fillId="0" borderId="0" xfId="10" applyNumberFormat="1"/>
    <xf numFmtId="9" fontId="4" fillId="0" borderId="0" xfId="10" applyNumberFormat="1"/>
    <xf numFmtId="0" fontId="19" fillId="10" borderId="0" xfId="6" applyFont="1" applyFill="1" applyAlignment="1">
      <alignment horizontal="left"/>
    </xf>
    <xf numFmtId="0" fontId="25" fillId="12" borderId="0" xfId="0" applyFont="1" applyFill="1"/>
    <xf numFmtId="0" fontId="0" fillId="13" borderId="0" xfId="0" applyFill="1"/>
    <xf numFmtId="1" fontId="17" fillId="8" borderId="0" xfId="7" applyNumberFormat="1" applyBorder="1" applyAlignment="1"/>
    <xf numFmtId="165" fontId="15" fillId="6" borderId="4" xfId="4" applyNumberFormat="1" applyBorder="1" applyAlignment="1">
      <alignment horizontal="right" vertical="center"/>
    </xf>
    <xf numFmtId="1" fontId="0" fillId="13" borderId="0" xfId="0" applyNumberFormat="1" applyFill="1"/>
    <xf numFmtId="1" fontId="4" fillId="14" borderId="0" xfId="0" applyNumberFormat="1" applyFont="1" applyFill="1"/>
    <xf numFmtId="1" fontId="0" fillId="14" borderId="0" xfId="0" applyNumberFormat="1" applyFill="1"/>
    <xf numFmtId="0" fontId="0" fillId="14" borderId="0" xfId="0" applyFill="1"/>
    <xf numFmtId="2" fontId="0" fillId="14" borderId="0" xfId="0" applyNumberFormat="1" applyFill="1"/>
    <xf numFmtId="0" fontId="4" fillId="13" borderId="0" xfId="9" applyFont="1" applyFill="1"/>
    <xf numFmtId="2" fontId="0" fillId="13" borderId="0" xfId="0" applyNumberFormat="1" applyFill="1"/>
    <xf numFmtId="2" fontId="4" fillId="13" borderId="0" xfId="0" applyNumberFormat="1" applyFont="1" applyFill="1"/>
    <xf numFmtId="2" fontId="0" fillId="0" borderId="0" xfId="0" applyNumberFormat="1"/>
    <xf numFmtId="0" fontId="26" fillId="0" borderId="0" xfId="0" applyFont="1"/>
    <xf numFmtId="0" fontId="3" fillId="15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2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14" fillId="4" borderId="0" xfId="2"/>
    <xf numFmtId="0" fontId="0" fillId="0" borderId="7" xfId="0" applyBorder="1"/>
    <xf numFmtId="0" fontId="11" fillId="0" borderId="0" xfId="0" applyFont="1"/>
    <xf numFmtId="0" fontId="25" fillId="12" borderId="0" xfId="0" applyFont="1" applyFill="1" applyAlignment="1">
      <alignment wrapText="1"/>
    </xf>
    <xf numFmtId="0" fontId="3" fillId="12" borderId="9" xfId="0" applyFont="1" applyFill="1" applyBorder="1" applyAlignment="1">
      <alignment wrapText="1"/>
    </xf>
    <xf numFmtId="165" fontId="8" fillId="0" borderId="10" xfId="0" applyNumberFormat="1" applyFont="1" applyBorder="1" applyAlignment="1">
      <alignment horizontal="left" vertical="center"/>
    </xf>
    <xf numFmtId="0" fontId="0" fillId="0" borderId="3" xfId="0" applyBorder="1"/>
    <xf numFmtId="165" fontId="9" fillId="11" borderId="11" xfId="0" applyNumberFormat="1" applyFont="1" applyFill="1" applyBorder="1" applyAlignment="1">
      <alignment horizontal="left" vertical="center"/>
    </xf>
    <xf numFmtId="0" fontId="3" fillId="12" borderId="10" xfId="0" applyFont="1" applyFill="1" applyBorder="1" applyAlignment="1">
      <alignment wrapText="1"/>
    </xf>
    <xf numFmtId="0" fontId="3" fillId="12" borderId="3" xfId="0" applyFont="1" applyFill="1" applyBorder="1" applyAlignment="1">
      <alignment wrapText="1"/>
    </xf>
    <xf numFmtId="0" fontId="3" fillId="12" borderId="7" xfId="0" applyFont="1" applyFill="1" applyBorder="1" applyAlignment="1">
      <alignment wrapText="1"/>
    </xf>
    <xf numFmtId="0" fontId="27" fillId="5" borderId="9" xfId="3" applyFont="1" applyBorder="1" applyAlignment="1">
      <alignment horizontal="left" vertical="center"/>
    </xf>
    <xf numFmtId="0" fontId="25" fillId="0" borderId="0" xfId="0" applyFont="1"/>
    <xf numFmtId="165" fontId="8" fillId="0" borderId="13" xfId="0" applyNumberFormat="1" applyFont="1" applyBorder="1" applyAlignment="1">
      <alignment horizontal="left" vertical="center"/>
    </xf>
    <xf numFmtId="165" fontId="9" fillId="13" borderId="5" xfId="0" applyNumberFormat="1" applyFont="1" applyFill="1" applyBorder="1" applyAlignment="1">
      <alignment horizontal="left" vertical="center"/>
    </xf>
    <xf numFmtId="165" fontId="9" fillId="13" borderId="15" xfId="0" applyNumberFormat="1" applyFont="1" applyFill="1" applyBorder="1" applyAlignment="1">
      <alignment horizontal="left" vertical="center"/>
    </xf>
    <xf numFmtId="9" fontId="4" fillId="14" borderId="0" xfId="18" applyFont="1" applyFill="1"/>
    <xf numFmtId="0" fontId="16" fillId="0" borderId="0" xfId="6" applyFill="1" applyBorder="1" applyAlignment="1">
      <alignment horizontal="right"/>
    </xf>
    <xf numFmtId="0" fontId="14" fillId="0" borderId="0" xfId="3" applyFill="1" applyAlignment="1">
      <alignment wrapText="1"/>
    </xf>
    <xf numFmtId="0" fontId="3" fillId="0" borderId="0" xfId="12" applyFont="1" applyAlignment="1">
      <alignment horizontal="center" vertical="center" wrapText="1"/>
    </xf>
    <xf numFmtId="0" fontId="21" fillId="0" borderId="0" xfId="1" applyFont="1" applyFill="1" applyBorder="1" applyAlignment="1">
      <alignment horizontal="left" wrapText="1"/>
    </xf>
    <xf numFmtId="0" fontId="21" fillId="0" borderId="0" xfId="1" applyFont="1" applyFill="1" applyBorder="1" applyAlignment="1">
      <alignment horizontal="center" wrapText="1"/>
    </xf>
    <xf numFmtId="0" fontId="4" fillId="2" borderId="2" xfId="0" applyFont="1" applyFill="1" applyBorder="1"/>
    <xf numFmtId="0" fontId="5" fillId="0" borderId="0" xfId="10" applyFont="1"/>
    <xf numFmtId="0" fontId="4" fillId="0" borderId="0" xfId="0" applyFont="1" applyAlignment="1">
      <alignment horizontal="left" vertical="center" wrapText="1"/>
    </xf>
    <xf numFmtId="1" fontId="12" fillId="0" borderId="0" xfId="8" applyNumberFormat="1" applyFill="1" applyBorder="1" applyAlignment="1">
      <alignment horizontal="center"/>
    </xf>
    <xf numFmtId="0" fontId="4" fillId="16" borderId="2" xfId="0" applyFont="1" applyFill="1" applyBorder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3" xfId="0" applyNumberFormat="1" applyFont="1" applyFill="1" applyBorder="1" applyAlignment="1">
      <alignment horizontal="left"/>
    </xf>
    <xf numFmtId="166" fontId="21" fillId="3" borderId="2" xfId="1" applyNumberFormat="1" applyFont="1" applyBorder="1" applyAlignment="1">
      <alignment horizontal="left" wrapText="1"/>
    </xf>
    <xf numFmtId="166" fontId="0" fillId="0" borderId="0" xfId="0" applyNumberFormat="1"/>
    <xf numFmtId="166" fontId="21" fillId="3" borderId="2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2" fontId="0" fillId="11" borderId="12" xfId="0" applyNumberFormat="1" applyFill="1" applyBorder="1"/>
    <xf numFmtId="2" fontId="0" fillId="11" borderId="0" xfId="0" applyNumberFormat="1" applyFill="1"/>
    <xf numFmtId="2" fontId="3" fillId="11" borderId="8" xfId="0" applyNumberFormat="1" applyFont="1" applyFill="1" applyBorder="1"/>
    <xf numFmtId="2" fontId="0" fillId="11" borderId="11" xfId="0" applyNumberFormat="1" applyFill="1" applyBorder="1"/>
    <xf numFmtId="2" fontId="0" fillId="11" borderId="13" xfId="0" applyNumberFormat="1" applyFill="1" applyBorder="1"/>
    <xf numFmtId="2" fontId="15" fillId="6" borderId="19" xfId="4" applyNumberFormat="1" applyBorder="1" applyAlignment="1">
      <alignment horizontal="right"/>
    </xf>
    <xf numFmtId="2" fontId="15" fillId="6" borderId="17" xfId="4" applyNumberFormat="1" applyBorder="1" applyAlignment="1">
      <alignment horizontal="right"/>
    </xf>
    <xf numFmtId="2" fontId="15" fillId="6" borderId="18" xfId="4" applyNumberFormat="1" applyBorder="1" applyAlignment="1">
      <alignment horizontal="right"/>
    </xf>
    <xf numFmtId="2" fontId="0" fillId="0" borderId="9" xfId="0" applyNumberFormat="1" applyBorder="1"/>
    <xf numFmtId="2" fontId="3" fillId="0" borderId="14" xfId="0" applyNumberFormat="1" applyFont="1" applyBorder="1"/>
    <xf numFmtId="2" fontId="3" fillId="13" borderId="8" xfId="0" applyNumberFormat="1" applyFont="1" applyFill="1" applyBorder="1"/>
    <xf numFmtId="2" fontId="17" fillId="8" borderId="0" xfId="7" applyNumberFormat="1" applyBorder="1" applyAlignment="1"/>
    <xf numFmtId="2" fontId="15" fillId="6" borderId="20" xfId="4" applyNumberFormat="1" applyBorder="1" applyAlignment="1">
      <alignment horizontal="right"/>
    </xf>
    <xf numFmtId="2" fontId="4" fillId="14" borderId="0" xfId="0" applyNumberFormat="1" applyFont="1" applyFill="1"/>
    <xf numFmtId="168" fontId="4" fillId="14" borderId="0" xfId="0" applyNumberFormat="1" applyFont="1" applyFill="1"/>
    <xf numFmtId="167" fontId="0" fillId="14" borderId="0" xfId="0" applyNumberFormat="1" applyFill="1"/>
    <xf numFmtId="167" fontId="0" fillId="13" borderId="0" xfId="0" applyNumberFormat="1" applyFill="1"/>
    <xf numFmtId="0" fontId="11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Migliaia_tab emissioni" xfId="8" xr:uid="{00000000-0005-0000-0000-000007000000}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Standard_Sce_D_Extraction" xfId="21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-1</xdr:colOff>
      <xdr:row>18</xdr:row>
      <xdr:rowOff>11906</xdr:rowOff>
    </xdr:from>
    <xdr:to>
      <xdr:col>13</xdr:col>
      <xdr:colOff>7498</xdr:colOff>
      <xdr:row>22</xdr:row>
      <xdr:rowOff>18256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E23E70-C4B1-4F85-909C-21D6004ACE44}"/>
            </a:ext>
          </a:extLst>
        </xdr:cNvPr>
        <xdr:cNvSpPr txBox="1"/>
      </xdr:nvSpPr>
      <xdr:spPr>
        <a:xfrm>
          <a:off x="7072312" y="6226969"/>
          <a:ext cx="4365186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19050</xdr:rowOff>
    </xdr:from>
    <xdr:to>
      <xdr:col>2</xdr:col>
      <xdr:colOff>285750</xdr:colOff>
      <xdr:row>19</xdr:row>
      <xdr:rowOff>152400</xdr:rowOff>
    </xdr:to>
    <xdr:pic>
      <xdr:nvPicPr>
        <xdr:cNvPr id="58089" name="Picture 6">
          <a:extLst>
            <a:ext uri="{FF2B5EF4-FFF2-40B4-BE49-F238E27FC236}">
              <a16:creationId xmlns:a16="http://schemas.microsoft.com/office/drawing/2014/main" id="{7BDAD5B3-C24C-4F20-8DFF-D39544C24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239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266700</xdr:colOff>
      <xdr:row>9</xdr:row>
      <xdr:rowOff>0</xdr:rowOff>
    </xdr:from>
    <xdr:to>
      <xdr:col>14</xdr:col>
      <xdr:colOff>1457325</xdr:colOff>
      <xdr:row>15</xdr:row>
      <xdr:rowOff>142875</xdr:rowOff>
    </xdr:to>
    <xdr:pic>
      <xdr:nvPicPr>
        <xdr:cNvPr id="58090" name="Picture 15">
          <a:extLst>
            <a:ext uri="{FF2B5EF4-FFF2-40B4-BE49-F238E27FC236}">
              <a16:creationId xmlns:a16="http://schemas.microsoft.com/office/drawing/2014/main" id="{540B23C0-16EA-4112-A3D8-E56902B3E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90675"/>
          <a:ext cx="33813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44</xdr:row>
      <xdr:rowOff>0</xdr:rowOff>
    </xdr:from>
    <xdr:to>
      <xdr:col>8</xdr:col>
      <xdr:colOff>561975</xdr:colOff>
      <xdr:row>51</xdr:row>
      <xdr:rowOff>57150</xdr:rowOff>
    </xdr:to>
    <xdr:pic>
      <xdr:nvPicPr>
        <xdr:cNvPr id="58091" name="Picture 7">
          <a:extLst>
            <a:ext uri="{FF2B5EF4-FFF2-40B4-BE49-F238E27FC236}">
              <a16:creationId xmlns:a16="http://schemas.microsoft.com/office/drawing/2014/main" id="{971283A1-8787-4A53-A83A-F636EB0D8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7258050"/>
          <a:ext cx="36004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75</xdr:row>
      <xdr:rowOff>47625</xdr:rowOff>
    </xdr:from>
    <xdr:to>
      <xdr:col>9</xdr:col>
      <xdr:colOff>466725</xdr:colOff>
      <xdr:row>87</xdr:row>
      <xdr:rowOff>142875</xdr:rowOff>
    </xdr:to>
    <xdr:pic>
      <xdr:nvPicPr>
        <xdr:cNvPr id="58092" name="Picture 18">
          <a:extLst>
            <a:ext uri="{FF2B5EF4-FFF2-40B4-BE49-F238E27FC236}">
              <a16:creationId xmlns:a16="http://schemas.microsoft.com/office/drawing/2014/main" id="{FC1A9247-F3B6-4E8F-87F6-53F0037E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325350"/>
          <a:ext cx="412432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51</xdr:row>
      <xdr:rowOff>57150</xdr:rowOff>
    </xdr:from>
    <xdr:to>
      <xdr:col>8</xdr:col>
      <xdr:colOff>361950</xdr:colOff>
      <xdr:row>58</xdr:row>
      <xdr:rowOff>95250</xdr:rowOff>
    </xdr:to>
    <xdr:pic>
      <xdr:nvPicPr>
        <xdr:cNvPr id="58093" name="Picture 19">
          <a:extLst>
            <a:ext uri="{FF2B5EF4-FFF2-40B4-BE49-F238E27FC236}">
              <a16:creationId xmlns:a16="http://schemas.microsoft.com/office/drawing/2014/main" id="{721D6DD4-914A-4EC0-81FE-268E66F37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448675"/>
          <a:ext cx="34099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58</xdr:row>
      <xdr:rowOff>95250</xdr:rowOff>
    </xdr:from>
    <xdr:to>
      <xdr:col>8</xdr:col>
      <xdr:colOff>361950</xdr:colOff>
      <xdr:row>65</xdr:row>
      <xdr:rowOff>133350</xdr:rowOff>
    </xdr:to>
    <xdr:pic>
      <xdr:nvPicPr>
        <xdr:cNvPr id="58094" name="Picture 20">
          <a:extLst>
            <a:ext uri="{FF2B5EF4-FFF2-40B4-BE49-F238E27FC236}">
              <a16:creationId xmlns:a16="http://schemas.microsoft.com/office/drawing/2014/main" id="{A10B5AE4-19A0-407F-B52F-33CA72F2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620250"/>
          <a:ext cx="34099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65</xdr:row>
      <xdr:rowOff>123825</xdr:rowOff>
    </xdr:from>
    <xdr:to>
      <xdr:col>9</xdr:col>
      <xdr:colOff>0</xdr:colOff>
      <xdr:row>75</xdr:row>
      <xdr:rowOff>47625</xdr:rowOff>
    </xdr:to>
    <xdr:pic>
      <xdr:nvPicPr>
        <xdr:cNvPr id="58095" name="Picture 21">
          <a:extLst>
            <a:ext uri="{FF2B5EF4-FFF2-40B4-BE49-F238E27FC236}">
              <a16:creationId xmlns:a16="http://schemas.microsoft.com/office/drawing/2014/main" id="{90B880CD-F53E-4B77-A241-7D1BBCC3B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782300"/>
          <a:ext cx="36576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35</xdr:row>
      <xdr:rowOff>133350</xdr:rowOff>
    </xdr:from>
    <xdr:to>
      <xdr:col>10</xdr:col>
      <xdr:colOff>28575</xdr:colOff>
      <xdr:row>44</xdr:row>
      <xdr:rowOff>9525</xdr:rowOff>
    </xdr:to>
    <xdr:pic>
      <xdr:nvPicPr>
        <xdr:cNvPr id="58096" name="Picture 22">
          <a:extLst>
            <a:ext uri="{FF2B5EF4-FFF2-40B4-BE49-F238E27FC236}">
              <a16:creationId xmlns:a16="http://schemas.microsoft.com/office/drawing/2014/main" id="{1B752447-FB70-42DF-9BF1-2376809C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5934075"/>
          <a:ext cx="42862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21</xdr:row>
      <xdr:rowOff>161925</xdr:rowOff>
    </xdr:from>
    <xdr:to>
      <xdr:col>11</xdr:col>
      <xdr:colOff>9525</xdr:colOff>
      <xdr:row>35</xdr:row>
      <xdr:rowOff>133350</xdr:rowOff>
    </xdr:to>
    <xdr:pic>
      <xdr:nvPicPr>
        <xdr:cNvPr id="58097" name="Picture 23">
          <a:extLst>
            <a:ext uri="{FF2B5EF4-FFF2-40B4-BE49-F238E27FC236}">
              <a16:creationId xmlns:a16="http://schemas.microsoft.com/office/drawing/2014/main" id="{EC312944-F21C-41C1-AE46-E7536D81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3695700"/>
          <a:ext cx="48768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9</xdr:row>
      <xdr:rowOff>19050</xdr:rowOff>
    </xdr:from>
    <xdr:to>
      <xdr:col>9</xdr:col>
      <xdr:colOff>419100</xdr:colOff>
      <xdr:row>21</xdr:row>
      <xdr:rowOff>161925</xdr:rowOff>
    </xdr:to>
    <xdr:pic>
      <xdr:nvPicPr>
        <xdr:cNvPr id="58098" name="Picture 24">
          <a:extLst>
            <a:ext uri="{FF2B5EF4-FFF2-40B4-BE49-F238E27FC236}">
              <a16:creationId xmlns:a16="http://schemas.microsoft.com/office/drawing/2014/main" id="{B39E34C7-FECC-4059-AB05-7CD49AA4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09725"/>
          <a:ext cx="407670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16</xdr:row>
      <xdr:rowOff>85725</xdr:rowOff>
    </xdr:from>
    <xdr:to>
      <xdr:col>16</xdr:col>
      <xdr:colOff>371475</xdr:colOff>
      <xdr:row>30</xdr:row>
      <xdr:rowOff>104775</xdr:rowOff>
    </xdr:to>
    <xdr:pic>
      <xdr:nvPicPr>
        <xdr:cNvPr id="58099" name="Picture 25">
          <a:extLst>
            <a:ext uri="{FF2B5EF4-FFF2-40B4-BE49-F238E27FC236}">
              <a16:creationId xmlns:a16="http://schemas.microsoft.com/office/drawing/2014/main" id="{D66E10D6-6A13-4DC7-9207-8A2095A80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2809875"/>
          <a:ext cx="441960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30</xdr:row>
      <xdr:rowOff>114300</xdr:rowOff>
    </xdr:from>
    <xdr:to>
      <xdr:col>16</xdr:col>
      <xdr:colOff>219075</xdr:colOff>
      <xdr:row>43</xdr:row>
      <xdr:rowOff>85725</xdr:rowOff>
    </xdr:to>
    <xdr:pic>
      <xdr:nvPicPr>
        <xdr:cNvPr id="58100" name="Picture 26">
          <a:extLst>
            <a:ext uri="{FF2B5EF4-FFF2-40B4-BE49-F238E27FC236}">
              <a16:creationId xmlns:a16="http://schemas.microsoft.com/office/drawing/2014/main" id="{F9B8B30A-1C0B-4967-904B-69647C7E7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105400"/>
          <a:ext cx="42672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43</xdr:row>
      <xdr:rowOff>95250</xdr:rowOff>
    </xdr:from>
    <xdr:to>
      <xdr:col>16</xdr:col>
      <xdr:colOff>257175</xdr:colOff>
      <xdr:row>56</xdr:row>
      <xdr:rowOff>95250</xdr:rowOff>
    </xdr:to>
    <xdr:pic>
      <xdr:nvPicPr>
        <xdr:cNvPr id="58101" name="Picture 27">
          <a:extLst>
            <a:ext uri="{FF2B5EF4-FFF2-40B4-BE49-F238E27FC236}">
              <a16:creationId xmlns:a16="http://schemas.microsoft.com/office/drawing/2014/main" id="{39CCC35B-203E-4A0C-A0DB-07446F4D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7191375"/>
          <a:ext cx="430530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56</xdr:row>
      <xdr:rowOff>104775</xdr:rowOff>
    </xdr:from>
    <xdr:to>
      <xdr:col>16</xdr:col>
      <xdr:colOff>85725</xdr:colOff>
      <xdr:row>68</xdr:row>
      <xdr:rowOff>85725</xdr:rowOff>
    </xdr:to>
    <xdr:pic>
      <xdr:nvPicPr>
        <xdr:cNvPr id="58102" name="Picture 28">
          <a:extLst>
            <a:ext uri="{FF2B5EF4-FFF2-40B4-BE49-F238E27FC236}">
              <a16:creationId xmlns:a16="http://schemas.microsoft.com/office/drawing/2014/main" id="{D1272E1B-A4E6-400D-A33C-9D9AAF1AD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9305925"/>
          <a:ext cx="41338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68</xdr:row>
      <xdr:rowOff>95250</xdr:rowOff>
    </xdr:from>
    <xdr:to>
      <xdr:col>16</xdr:col>
      <xdr:colOff>390525</xdr:colOff>
      <xdr:row>82</xdr:row>
      <xdr:rowOff>57150</xdr:rowOff>
    </xdr:to>
    <xdr:pic>
      <xdr:nvPicPr>
        <xdr:cNvPr id="58103" name="Picture 29">
          <a:extLst>
            <a:ext uri="{FF2B5EF4-FFF2-40B4-BE49-F238E27FC236}">
              <a16:creationId xmlns:a16="http://schemas.microsoft.com/office/drawing/2014/main" id="{28CCC66E-9BFB-4F43-AE43-45F5311DB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1239500"/>
          <a:ext cx="44386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82</xdr:row>
      <xdr:rowOff>57150</xdr:rowOff>
    </xdr:from>
    <xdr:to>
      <xdr:col>15</xdr:col>
      <xdr:colOff>190500</xdr:colOff>
      <xdr:row>90</xdr:row>
      <xdr:rowOff>152400</xdr:rowOff>
    </xdr:to>
    <xdr:pic>
      <xdr:nvPicPr>
        <xdr:cNvPr id="58104" name="Picture 30">
          <a:extLst>
            <a:ext uri="{FF2B5EF4-FFF2-40B4-BE49-F238E27FC236}">
              <a16:creationId xmlns:a16="http://schemas.microsoft.com/office/drawing/2014/main" id="{5E4297F1-276E-49EF-8B8F-CAEB47EE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3468350"/>
          <a:ext cx="36290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90</xdr:row>
      <xdr:rowOff>114300</xdr:rowOff>
    </xdr:from>
    <xdr:to>
      <xdr:col>16</xdr:col>
      <xdr:colOff>228600</xdr:colOff>
      <xdr:row>103</xdr:row>
      <xdr:rowOff>38100</xdr:rowOff>
    </xdr:to>
    <xdr:pic>
      <xdr:nvPicPr>
        <xdr:cNvPr id="58105" name="Picture 31">
          <a:extLst>
            <a:ext uri="{FF2B5EF4-FFF2-40B4-BE49-F238E27FC236}">
              <a16:creationId xmlns:a16="http://schemas.microsoft.com/office/drawing/2014/main" id="{EB97C3DB-20DD-4A68-9A98-F292C4C28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4820900"/>
          <a:ext cx="427672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11</xdr:col>
      <xdr:colOff>2299252</xdr:colOff>
      <xdr:row>23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E97A0A-C327-4CF5-9427-50226FDD7126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19</xdr:row>
      <xdr:rowOff>0</xdr:rowOff>
    </xdr:from>
    <xdr:to>
      <xdr:col>11</xdr:col>
      <xdr:colOff>2325972</xdr:colOff>
      <xdr:row>24</xdr:row>
      <xdr:rowOff>150514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C832EF-CA52-4030-B0B9-6D0DA2834D49}"/>
            </a:ext>
          </a:extLst>
        </xdr:cNvPr>
        <xdr:cNvSpPr txBox="1"/>
      </xdr:nvSpPr>
      <xdr:spPr>
        <a:xfrm>
          <a:off x="6515100" y="3733800"/>
          <a:ext cx="4467225" cy="962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gas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gas supply curve, along with and import and export option.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12</xdr:col>
      <xdr:colOff>0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4BA106-5368-4F3D-92FB-45528678127D}"/>
            </a:ext>
          </a:extLst>
        </xdr:cNvPr>
        <xdr:cNvSpPr txBox="1"/>
      </xdr:nvSpPr>
      <xdr:spPr>
        <a:xfrm>
          <a:off x="6457950" y="3733800"/>
          <a:ext cx="4486275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oil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oil supply curve, along with and import and export option.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18</xdr:row>
      <xdr:rowOff>9525</xdr:rowOff>
    </xdr:from>
    <xdr:to>
      <xdr:col>11</xdr:col>
      <xdr:colOff>9465</xdr:colOff>
      <xdr:row>24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F80E6F-9CDA-4829-BF8B-A2F4E52363DF}"/>
            </a:ext>
          </a:extLst>
        </xdr:cNvPr>
        <xdr:cNvSpPr txBox="1"/>
      </xdr:nvSpPr>
      <xdr:spPr>
        <a:xfrm>
          <a:off x="6648450" y="3790950"/>
          <a:ext cx="478149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reneable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renewable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33</xdr:row>
      <xdr:rowOff>0</xdr:rowOff>
    </xdr:from>
    <xdr:to>
      <xdr:col>10</xdr:col>
      <xdr:colOff>2486057</xdr:colOff>
      <xdr:row>39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38DAA-3274-48BE-8A1C-90CC55F8E04B}"/>
            </a:ext>
          </a:extLst>
        </xdr:cNvPr>
        <xdr:cNvSpPr txBox="1"/>
      </xdr:nvSpPr>
      <xdr:spPr>
        <a:xfrm>
          <a:off x="7000875" y="6343650"/>
          <a:ext cx="47625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each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product.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10</xdr:col>
      <xdr:colOff>2486057</xdr:colOff>
      <xdr:row>27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D90CF5-1B44-4E82-9FF1-BC881A703FC0}"/>
            </a:ext>
          </a:extLst>
        </xdr:cNvPr>
        <xdr:cNvSpPr txBox="1"/>
      </xdr:nvSpPr>
      <xdr:spPr>
        <a:xfrm>
          <a:off x="7200900" y="6076950"/>
          <a:ext cx="4514882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electricity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electricity.</a:t>
          </a:r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14</xdr:col>
      <xdr:colOff>428625</xdr:colOff>
      <xdr:row>8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37448E-BE4A-4C46-9211-C19FA1948BCC}"/>
            </a:ext>
          </a:extLst>
        </xdr:cNvPr>
        <xdr:cNvSpPr txBox="1"/>
      </xdr:nvSpPr>
      <xdr:spPr>
        <a:xfrm>
          <a:off x="8467725" y="1285875"/>
          <a:ext cx="5686425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ELC commodity is already declared in the ELC workbook.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Commodities might be declared only one time and if declared in a base year template (VT files) will be available fro all templates 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14</xdr:col>
      <xdr:colOff>701005</xdr:colOff>
      <xdr:row>24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4F1E21-5CDA-4869-B964-1ADCDB0B9A86}"/>
            </a:ext>
          </a:extLst>
        </xdr:cNvPr>
        <xdr:cNvSpPr txBox="1"/>
      </xdr:nvSpPr>
      <xdr:spPr>
        <a:xfrm>
          <a:off x="9648825" y="3495675"/>
          <a:ext cx="4705350" cy="828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REFCO2 an environmental commodity (FI_COMM table) and define the refinery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refinery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convert oil in petroleoum products.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14653</xdr:colOff>
      <xdr:row>17</xdr:row>
      <xdr:rowOff>153866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8CCDDD-5884-4EF0-A47F-400CF431D28A}"/>
            </a:ext>
          </a:extLst>
        </xdr:cNvPr>
        <xdr:cNvSpPr txBox="1"/>
      </xdr:nvSpPr>
      <xdr:spPr>
        <a:xfrm>
          <a:off x="611188" y="3309938"/>
          <a:ext cx="5070840" cy="6301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~COMAGG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an aggregated commodity, TOTCO2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example, multiplying the sectoral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emissions by a coefficient 1 (cells C1:H1). It is possible to add more aggregated commodities and change multipliers.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25_v03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5">
          <cell r="D5">
            <v>0.49906656000000005</v>
          </cell>
          <cell r="E5">
            <v>0</v>
          </cell>
          <cell r="F5">
            <v>0</v>
          </cell>
          <cell r="G5">
            <v>5.3591040000000008E-3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99.354020040000009</v>
          </cell>
          <cell r="P5">
            <v>18.38716956</v>
          </cell>
          <cell r="Q5">
            <v>0</v>
          </cell>
          <cell r="R5">
            <v>2.2010007600000003</v>
          </cell>
          <cell r="S5">
            <v>0</v>
          </cell>
          <cell r="T5">
            <v>0</v>
          </cell>
          <cell r="U5">
            <v>0</v>
          </cell>
        </row>
        <row r="6">
          <cell r="D6">
            <v>60.137101799999996</v>
          </cell>
          <cell r="E6">
            <v>0</v>
          </cell>
          <cell r="F6">
            <v>0</v>
          </cell>
          <cell r="G6">
            <v>77.62369068000001</v>
          </cell>
          <cell r="H6">
            <v>2.2344951599999998</v>
          </cell>
          <cell r="I6">
            <v>15.40030644</v>
          </cell>
          <cell r="J6">
            <v>31.063543920000004</v>
          </cell>
          <cell r="K6">
            <v>0</v>
          </cell>
          <cell r="L6">
            <v>5.8732430400000002</v>
          </cell>
          <cell r="M6">
            <v>8.1692841600000001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2.9307600000000002E-4</v>
          </cell>
          <cell r="T6">
            <v>6.4058040000000002E-3</v>
          </cell>
          <cell r="U6">
            <v>12.188612160000002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-5.4009720000000004E-3</v>
          </cell>
          <cell r="U7">
            <v>0</v>
          </cell>
        </row>
        <row r="10">
          <cell r="D10">
            <v>-0.22444429968000001</v>
          </cell>
          <cell r="E10">
            <v>0</v>
          </cell>
          <cell r="F10">
            <v>0</v>
          </cell>
          <cell r="G10">
            <v>0</v>
          </cell>
          <cell r="H10">
            <v>-1.8003240000000001E-3</v>
          </cell>
          <cell r="I10">
            <v>0</v>
          </cell>
          <cell r="J10">
            <v>0</v>
          </cell>
          <cell r="K10">
            <v>0</v>
          </cell>
          <cell r="L10">
            <v>-2.737915992E-2</v>
          </cell>
          <cell r="M10">
            <v>0</v>
          </cell>
          <cell r="N10">
            <v>0</v>
          </cell>
          <cell r="O10">
            <v>1.6454124000000001E-3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D11">
            <v>-37.407383280000005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-4.5631933199999999</v>
          </cell>
          <cell r="M11">
            <v>0</v>
          </cell>
          <cell r="N11">
            <v>0</v>
          </cell>
          <cell r="O11">
            <v>0.27423540000000002</v>
          </cell>
          <cell r="P11">
            <v>-18.38716956</v>
          </cell>
          <cell r="Q11">
            <v>0</v>
          </cell>
          <cell r="R11">
            <v>-2.2010007600000003</v>
          </cell>
          <cell r="S11">
            <v>0</v>
          </cell>
          <cell r="T11">
            <v>0</v>
          </cell>
          <cell r="U11">
            <v>36.392921640000004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-1.9552356000000003E-2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A22"/>
  <sheetViews>
    <sheetView topLeftCell="C1" zoomScale="80" zoomScaleNormal="80" workbookViewId="0">
      <selection activeCell="I28" sqref="I28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27" x14ac:dyDescent="0.2">
      <c r="X1" s="17" t="s">
        <v>80</v>
      </c>
      <c r="Y1" s="1" t="s">
        <v>81</v>
      </c>
      <c r="Z1" s="1" t="s">
        <v>82</v>
      </c>
      <c r="AA1" s="1" t="s">
        <v>85</v>
      </c>
    </row>
    <row r="2" spans="2:27" ht="15.75" x14ac:dyDescent="0.25">
      <c r="D2" s="57" t="s">
        <v>44</v>
      </c>
      <c r="E2" s="57" t="s">
        <v>45</v>
      </c>
      <c r="F2" s="57" t="s">
        <v>46</v>
      </c>
      <c r="G2" s="57" t="s">
        <v>93</v>
      </c>
      <c r="H2" s="57" t="s">
        <v>94</v>
      </c>
      <c r="I2" s="57" t="s">
        <v>95</v>
      </c>
      <c r="J2" s="57" t="s">
        <v>96</v>
      </c>
      <c r="K2" s="57" t="s">
        <v>97</v>
      </c>
      <c r="L2" s="57" t="s">
        <v>98</v>
      </c>
      <c r="M2" s="57" t="s">
        <v>99</v>
      </c>
      <c r="N2" s="57" t="s">
        <v>47</v>
      </c>
      <c r="O2" s="57" t="s">
        <v>123</v>
      </c>
      <c r="P2" s="57" t="s">
        <v>124</v>
      </c>
      <c r="Q2" s="57" t="s">
        <v>125</v>
      </c>
      <c r="R2" s="57" t="s">
        <v>126</v>
      </c>
      <c r="S2" s="57" t="s">
        <v>48</v>
      </c>
      <c r="T2" s="57" t="s">
        <v>49</v>
      </c>
      <c r="U2" s="57" t="s">
        <v>50</v>
      </c>
      <c r="V2" s="25"/>
      <c r="Y2" s="34" t="s">
        <v>151</v>
      </c>
      <c r="Z2" s="8" t="s">
        <v>69</v>
      </c>
      <c r="AA2" s="8" t="s">
        <v>86</v>
      </c>
    </row>
    <row r="3" spans="2:27" ht="25.5" x14ac:dyDescent="0.2">
      <c r="C3" s="65" t="s">
        <v>131</v>
      </c>
      <c r="D3" s="62" t="s">
        <v>51</v>
      </c>
      <c r="E3" s="63" t="s">
        <v>52</v>
      </c>
      <c r="F3" s="63" t="s">
        <v>140</v>
      </c>
      <c r="G3" s="63" t="s">
        <v>111</v>
      </c>
      <c r="H3" s="63" t="s">
        <v>102</v>
      </c>
      <c r="I3" s="63" t="s">
        <v>95</v>
      </c>
      <c r="J3" s="63" t="s">
        <v>103</v>
      </c>
      <c r="K3" s="63" t="s">
        <v>104</v>
      </c>
      <c r="L3" s="63" t="s">
        <v>100</v>
      </c>
      <c r="M3" s="63" t="s">
        <v>101</v>
      </c>
      <c r="N3" s="63" t="s">
        <v>53</v>
      </c>
      <c r="O3" s="63" t="s">
        <v>127</v>
      </c>
      <c r="P3" s="63" t="s">
        <v>128</v>
      </c>
      <c r="Q3" s="63" t="s">
        <v>129</v>
      </c>
      <c r="R3" s="63" t="s">
        <v>130</v>
      </c>
      <c r="S3" s="63" t="s">
        <v>54</v>
      </c>
      <c r="T3" s="63" t="s">
        <v>55</v>
      </c>
      <c r="U3" s="64" t="s">
        <v>75</v>
      </c>
      <c r="V3" s="58" t="s">
        <v>56</v>
      </c>
    </row>
    <row r="4" spans="2:27" x14ac:dyDescent="0.2">
      <c r="C4" s="59" t="s">
        <v>57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55"/>
    </row>
    <row r="5" spans="2:27" x14ac:dyDescent="0.2">
      <c r="B5" s="35" t="s">
        <v>58</v>
      </c>
      <c r="C5" s="61" t="s">
        <v>59</v>
      </c>
      <c r="D5" s="89">
        <f>[2]EB1!D5</f>
        <v>0.49906656000000005</v>
      </c>
      <c r="E5" s="90">
        <f>[2]EB1!E5</f>
        <v>0</v>
      </c>
      <c r="F5" s="90">
        <f>[2]EB1!F5</f>
        <v>0</v>
      </c>
      <c r="G5" s="90">
        <f>[2]EB1!G5</f>
        <v>5.3591040000000008E-3</v>
      </c>
      <c r="H5" s="90">
        <f>[2]EB1!H5</f>
        <v>0</v>
      </c>
      <c r="I5" s="90">
        <f>[2]EB1!I5</f>
        <v>0</v>
      </c>
      <c r="J5" s="90">
        <f>[2]EB1!J5</f>
        <v>0</v>
      </c>
      <c r="K5" s="90">
        <f>[2]EB1!K5</f>
        <v>0</v>
      </c>
      <c r="L5" s="90">
        <f>[2]EB1!L5</f>
        <v>0</v>
      </c>
      <c r="M5" s="90">
        <f>[2]EB1!M5</f>
        <v>0</v>
      </c>
      <c r="N5" s="90">
        <f>[2]EB1!N5</f>
        <v>0</v>
      </c>
      <c r="O5" s="90">
        <f>[2]EB1!O5</f>
        <v>99.354020040000009</v>
      </c>
      <c r="P5" s="90">
        <f>[2]EB1!P5</f>
        <v>18.38716956</v>
      </c>
      <c r="Q5" s="90">
        <f>[2]EB1!Q5</f>
        <v>0</v>
      </c>
      <c r="R5" s="90">
        <f>[2]EB1!R5</f>
        <v>2.2010007600000003</v>
      </c>
      <c r="S5" s="90">
        <f>[2]EB1!S5</f>
        <v>0</v>
      </c>
      <c r="T5" s="90">
        <f>[2]EB1!T5</f>
        <v>0</v>
      </c>
      <c r="U5" s="90">
        <f>[2]EB1!U5</f>
        <v>0</v>
      </c>
      <c r="V5" s="91">
        <f>SUM(D5:U5)</f>
        <v>120.44661602400001</v>
      </c>
      <c r="X5" s="5"/>
    </row>
    <row r="6" spans="2:27" x14ac:dyDescent="0.2">
      <c r="B6" s="35" t="s">
        <v>60</v>
      </c>
      <c r="C6" s="61" t="s">
        <v>61</v>
      </c>
      <c r="D6" s="92">
        <f>[2]EB1!D6</f>
        <v>60.137101799999996</v>
      </c>
      <c r="E6" s="90">
        <f>[2]EB1!E6</f>
        <v>0</v>
      </c>
      <c r="F6" s="90">
        <f>[2]EB1!F6</f>
        <v>0</v>
      </c>
      <c r="G6" s="90">
        <f>[2]EB1!G6</f>
        <v>77.62369068000001</v>
      </c>
      <c r="H6" s="90">
        <f>[2]EB1!H6</f>
        <v>2.2344951599999998</v>
      </c>
      <c r="I6" s="90">
        <f>[2]EB1!I6</f>
        <v>15.40030644</v>
      </c>
      <c r="J6" s="90">
        <f>[2]EB1!J6</f>
        <v>31.063543920000004</v>
      </c>
      <c r="K6" s="90">
        <f>[2]EB1!K6</f>
        <v>0</v>
      </c>
      <c r="L6" s="90">
        <f>[2]EB1!L6</f>
        <v>5.8732430400000002</v>
      </c>
      <c r="M6" s="90">
        <f>[2]EB1!M6</f>
        <v>8.1692841600000001</v>
      </c>
      <c r="N6" s="90">
        <f>[2]EB1!N6</f>
        <v>0</v>
      </c>
      <c r="O6" s="90">
        <f>[2]EB1!O6</f>
        <v>0</v>
      </c>
      <c r="P6" s="90">
        <f>[2]EB1!P6</f>
        <v>0</v>
      </c>
      <c r="Q6" s="90">
        <f>[2]EB1!Q6</f>
        <v>0</v>
      </c>
      <c r="R6" s="90">
        <f>[2]EB1!R6</f>
        <v>0</v>
      </c>
      <c r="S6" s="90">
        <f>[2]EB1!S6</f>
        <v>2.9307600000000002E-4</v>
      </c>
      <c r="T6" s="90">
        <f>[2]EB1!T6</f>
        <v>6.4058040000000002E-3</v>
      </c>
      <c r="U6" s="90">
        <f>[2]EB1!U6</f>
        <v>12.188612160000002</v>
      </c>
      <c r="V6" s="91">
        <f>SUM(D6:U6)</f>
        <v>212.69697624</v>
      </c>
    </row>
    <row r="7" spans="2:27" x14ac:dyDescent="0.2">
      <c r="B7" s="35" t="s">
        <v>62</v>
      </c>
      <c r="C7" s="61" t="s">
        <v>63</v>
      </c>
      <c r="D7" s="93">
        <f>[2]EB1!D7</f>
        <v>0</v>
      </c>
      <c r="E7" s="90">
        <f>[2]EB1!E7</f>
        <v>0</v>
      </c>
      <c r="F7" s="90">
        <f>[2]EB1!F7</f>
        <v>0</v>
      </c>
      <c r="G7" s="90">
        <f>[2]EB1!G7</f>
        <v>0</v>
      </c>
      <c r="H7" s="90">
        <f>[2]EB1!H7</f>
        <v>0</v>
      </c>
      <c r="I7" s="90">
        <f>[2]EB1!I7</f>
        <v>0</v>
      </c>
      <c r="J7" s="90">
        <f>[2]EB1!J7</f>
        <v>0</v>
      </c>
      <c r="K7" s="90">
        <f>[2]EB1!K7</f>
        <v>0</v>
      </c>
      <c r="L7" s="90">
        <f>[2]EB1!L7</f>
        <v>0</v>
      </c>
      <c r="M7" s="90">
        <f>[2]EB1!M7</f>
        <v>0</v>
      </c>
      <c r="N7" s="90">
        <f>[2]EB1!N7</f>
        <v>0</v>
      </c>
      <c r="O7" s="90">
        <f>[2]EB1!O7</f>
        <v>0</v>
      </c>
      <c r="P7" s="90">
        <f>[2]EB1!P7</f>
        <v>0</v>
      </c>
      <c r="Q7" s="90">
        <f>[2]EB1!Q7</f>
        <v>0</v>
      </c>
      <c r="R7" s="90">
        <f>[2]EB1!R7</f>
        <v>0</v>
      </c>
      <c r="S7" s="90">
        <f>[2]EB1!S7</f>
        <v>0</v>
      </c>
      <c r="T7" s="90">
        <f>[2]EB1!T7</f>
        <v>-5.4009720000000004E-3</v>
      </c>
      <c r="U7" s="90">
        <f>[2]EB1!U7</f>
        <v>0</v>
      </c>
      <c r="V7" s="91">
        <f>SUM(D7:U7)</f>
        <v>-5.4009720000000004E-3</v>
      </c>
      <c r="X7" s="5"/>
    </row>
    <row r="8" spans="2:27" ht="15" x14ac:dyDescent="0.25">
      <c r="B8" s="54" t="s">
        <v>120</v>
      </c>
      <c r="C8" s="38" t="s">
        <v>121</v>
      </c>
      <c r="D8" s="94">
        <f>SUM(D5:D7)</f>
        <v>60.636168359999999</v>
      </c>
      <c r="E8" s="95">
        <f t="shared" ref="E8:U8" si="0">SUM(E5:E7)</f>
        <v>0</v>
      </c>
      <c r="F8" s="95">
        <f t="shared" si="0"/>
        <v>0</v>
      </c>
      <c r="G8" s="95">
        <f t="shared" si="0"/>
        <v>77.629049784000003</v>
      </c>
      <c r="H8" s="95">
        <f t="shared" si="0"/>
        <v>2.2344951599999998</v>
      </c>
      <c r="I8" s="95">
        <f t="shared" si="0"/>
        <v>15.40030644</v>
      </c>
      <c r="J8" s="95">
        <f t="shared" si="0"/>
        <v>31.063543920000004</v>
      </c>
      <c r="K8" s="95">
        <f t="shared" si="0"/>
        <v>0</v>
      </c>
      <c r="L8" s="95">
        <f t="shared" si="0"/>
        <v>5.8732430400000002</v>
      </c>
      <c r="M8" s="95">
        <f t="shared" si="0"/>
        <v>8.1692841600000001</v>
      </c>
      <c r="N8" s="95">
        <f t="shared" si="0"/>
        <v>0</v>
      </c>
      <c r="O8" s="95">
        <f t="shared" si="0"/>
        <v>99.354020040000009</v>
      </c>
      <c r="P8" s="95"/>
      <c r="Q8" s="95"/>
      <c r="R8" s="95"/>
      <c r="S8" s="95">
        <f t="shared" si="0"/>
        <v>2.9307600000000002E-4</v>
      </c>
      <c r="T8" s="95">
        <f t="shared" si="0"/>
        <v>1.0048319999999998E-3</v>
      </c>
      <c r="U8" s="95">
        <f t="shared" si="0"/>
        <v>12.188612160000002</v>
      </c>
      <c r="V8" s="96">
        <f>SUM(V5:V7)</f>
        <v>333.13819129199999</v>
      </c>
    </row>
    <row r="9" spans="2:27" x14ac:dyDescent="0.2">
      <c r="B9" s="66"/>
      <c r="C9" s="67" t="s">
        <v>132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</row>
    <row r="10" spans="2:27" x14ac:dyDescent="0.2">
      <c r="B10" s="35" t="s">
        <v>133</v>
      </c>
      <c r="C10" s="68" t="s">
        <v>134</v>
      </c>
      <c r="D10" s="45">
        <f>[2]EB1!D10</f>
        <v>-0.22444429968000001</v>
      </c>
      <c r="E10" s="45">
        <f>[2]EB1!E10</f>
        <v>0</v>
      </c>
      <c r="F10" s="45">
        <f>[2]EB1!F10</f>
        <v>0</v>
      </c>
      <c r="G10" s="45">
        <f>[2]EB1!G10</f>
        <v>0</v>
      </c>
      <c r="H10" s="45">
        <f>[2]EB1!H10</f>
        <v>-1.8003240000000001E-3</v>
      </c>
      <c r="I10" s="45">
        <f>[2]EB1!I10</f>
        <v>0</v>
      </c>
      <c r="J10" s="45">
        <f>[2]EB1!J10</f>
        <v>0</v>
      </c>
      <c r="K10" s="45">
        <f>[2]EB1!K10</f>
        <v>0</v>
      </c>
      <c r="L10" s="45">
        <f>[2]EB1!L10</f>
        <v>-2.737915992E-2</v>
      </c>
      <c r="M10" s="45">
        <f>[2]EB1!M10</f>
        <v>0</v>
      </c>
      <c r="N10" s="45">
        <f>[2]EB1!N10</f>
        <v>0</v>
      </c>
      <c r="O10" s="45">
        <f>[2]EB1!O10</f>
        <v>1.6454124000000001E-3</v>
      </c>
      <c r="P10" s="45">
        <f>[2]EB1!P10</f>
        <v>0</v>
      </c>
      <c r="Q10" s="45">
        <f>[2]EB1!Q10</f>
        <v>0</v>
      </c>
      <c r="R10" s="45">
        <f>[2]EB1!R10</f>
        <v>0</v>
      </c>
      <c r="S10" s="45">
        <f>[2]EB1!S10</f>
        <v>0</v>
      </c>
      <c r="T10" s="45">
        <f>[2]EB1!T10</f>
        <v>0</v>
      </c>
      <c r="U10" s="45">
        <f>[2]EB1!U10</f>
        <v>0</v>
      </c>
      <c r="V10" s="99">
        <f>SUM(D10:U10)</f>
        <v>-0.2519783712</v>
      </c>
    </row>
    <row r="11" spans="2:27" x14ac:dyDescent="0.2">
      <c r="B11" s="35" t="s">
        <v>50</v>
      </c>
      <c r="C11" s="69" t="s">
        <v>135</v>
      </c>
      <c r="D11" s="45">
        <f>[2]EB1!D11</f>
        <v>-37.407383280000005</v>
      </c>
      <c r="E11" s="45">
        <f>[2]EB1!E11</f>
        <v>0</v>
      </c>
      <c r="F11" s="45">
        <f>[2]EB1!F11</f>
        <v>0</v>
      </c>
      <c r="G11" s="45">
        <f>[2]EB1!G11</f>
        <v>0</v>
      </c>
      <c r="H11" s="45">
        <f>[2]EB1!H11</f>
        <v>0</v>
      </c>
      <c r="I11" s="45">
        <f>[2]EB1!I11</f>
        <v>0</v>
      </c>
      <c r="J11" s="45">
        <f>[2]EB1!J11</f>
        <v>0</v>
      </c>
      <c r="K11" s="45">
        <f>[2]EB1!K11</f>
        <v>0</v>
      </c>
      <c r="L11" s="45">
        <f>[2]EB1!L11</f>
        <v>-4.5631933199999999</v>
      </c>
      <c r="M11" s="45">
        <f>[2]EB1!M11</f>
        <v>0</v>
      </c>
      <c r="N11" s="45">
        <f>[2]EB1!N11</f>
        <v>0</v>
      </c>
      <c r="O11" s="45">
        <f>[2]EB1!O11</f>
        <v>0.27423540000000002</v>
      </c>
      <c r="P11" s="45">
        <f>[2]EB1!P11</f>
        <v>-18.38716956</v>
      </c>
      <c r="Q11" s="45">
        <f>[2]EB1!Q11</f>
        <v>0</v>
      </c>
      <c r="R11" s="45">
        <f>[2]EB1!R11</f>
        <v>-2.2010007600000003</v>
      </c>
      <c r="S11" s="45">
        <f>[2]EB1!S11</f>
        <v>0</v>
      </c>
      <c r="T11" s="45">
        <f>[2]EB1!T11</f>
        <v>0</v>
      </c>
      <c r="U11" s="45">
        <f>[2]EB1!U11</f>
        <v>36.392921640000004</v>
      </c>
      <c r="V11" s="99">
        <f>SUM(D11:U11)</f>
        <v>-25.891589879999991</v>
      </c>
    </row>
    <row r="12" spans="2:27" x14ac:dyDescent="0.2">
      <c r="B12" s="35" t="s">
        <v>136</v>
      </c>
      <c r="C12" s="69" t="s">
        <v>137</v>
      </c>
      <c r="D12" s="45">
        <f>[2]EB1!D12</f>
        <v>0</v>
      </c>
      <c r="E12" s="45">
        <f>[2]EB1!E12</f>
        <v>0</v>
      </c>
      <c r="F12" s="45">
        <f>[2]EB1!F12</f>
        <v>0</v>
      </c>
      <c r="G12" s="45">
        <f>[2]EB1!G12</f>
        <v>0</v>
      </c>
      <c r="H12" s="45">
        <f>[2]EB1!H12</f>
        <v>0</v>
      </c>
      <c r="I12" s="45">
        <f>[2]EB1!I12</f>
        <v>-1.9552356000000003E-2</v>
      </c>
      <c r="J12" s="45">
        <f>[2]EB1!J12</f>
        <v>0</v>
      </c>
      <c r="K12" s="45">
        <f>[2]EB1!K12</f>
        <v>0</v>
      </c>
      <c r="L12" s="45">
        <f>[2]EB1!L12</f>
        <v>0</v>
      </c>
      <c r="M12" s="45">
        <f>[2]EB1!M12</f>
        <v>0</v>
      </c>
      <c r="N12" s="45">
        <f>[2]EB1!N12</f>
        <v>0</v>
      </c>
      <c r="O12" s="45">
        <f>[2]EB1!O12</f>
        <v>0</v>
      </c>
      <c r="P12" s="45">
        <f>[2]EB1!P12</f>
        <v>0</v>
      </c>
      <c r="Q12" s="45">
        <f>[2]EB1!Q12</f>
        <v>0</v>
      </c>
      <c r="R12" s="45">
        <f>[2]EB1!R12</f>
        <v>0</v>
      </c>
      <c r="S12" s="45">
        <f>[2]EB1!S12</f>
        <v>0</v>
      </c>
      <c r="T12" s="45">
        <f>[2]EB1!T12</f>
        <v>0</v>
      </c>
      <c r="U12" s="45">
        <f>[2]EB1!U12</f>
        <v>0</v>
      </c>
      <c r="V12" s="99">
        <f>SUM(D12:U12)</f>
        <v>-1.9552356000000003E-2</v>
      </c>
    </row>
    <row r="13" spans="2:27" ht="15" x14ac:dyDescent="0.25">
      <c r="B13" s="35" t="s">
        <v>64</v>
      </c>
      <c r="C13" s="69" t="s">
        <v>138</v>
      </c>
      <c r="D13" s="45">
        <f>[2]EB1!D13</f>
        <v>0</v>
      </c>
      <c r="E13" s="45">
        <f>[2]EB1!E13</f>
        <v>0</v>
      </c>
      <c r="F13" s="100">
        <f>[2]EB1!F13</f>
        <v>0</v>
      </c>
      <c r="G13" s="100">
        <f>[2]EB1!G13</f>
        <v>0</v>
      </c>
      <c r="H13" s="100">
        <f>[2]EB1!H13</f>
        <v>0</v>
      </c>
      <c r="I13" s="100">
        <f>[2]EB1!I13</f>
        <v>0</v>
      </c>
      <c r="J13" s="100">
        <f>[2]EB1!J13</f>
        <v>0</v>
      </c>
      <c r="K13" s="100">
        <f>[2]EB1!K13</f>
        <v>0</v>
      </c>
      <c r="L13" s="100">
        <f>[2]EB1!L13</f>
        <v>0</v>
      </c>
      <c r="M13" s="100">
        <f>[2]EB1!M13</f>
        <v>0</v>
      </c>
      <c r="N13" s="45">
        <f>[2]EB1!N13</f>
        <v>0</v>
      </c>
      <c r="O13" s="45">
        <f>[2]EB1!O13</f>
        <v>0</v>
      </c>
      <c r="P13" s="45">
        <f>[2]EB1!P13</f>
        <v>0</v>
      </c>
      <c r="Q13" s="45">
        <f>[2]EB1!Q13</f>
        <v>0</v>
      </c>
      <c r="R13" s="45">
        <f>[2]EB1!R13</f>
        <v>0</v>
      </c>
      <c r="S13" s="45">
        <f>[2]EB1!S13</f>
        <v>0</v>
      </c>
      <c r="T13" s="45">
        <f>[2]EB1!T13</f>
        <v>0</v>
      </c>
      <c r="U13" s="45">
        <f>[2]EB1!U13</f>
        <v>0</v>
      </c>
      <c r="V13" s="99">
        <f>SUM(D13:U13)</f>
        <v>0</v>
      </c>
    </row>
    <row r="14" spans="2:27" ht="15" x14ac:dyDescent="0.25">
      <c r="B14" s="66"/>
      <c r="C14" s="38" t="s">
        <v>139</v>
      </c>
      <c r="D14" s="101">
        <f>SUM(D10:D13)</f>
        <v>-37.631827579680007</v>
      </c>
      <c r="E14" s="95">
        <f t="shared" ref="E14:U14" si="1">SUM(E10:E13)</f>
        <v>0</v>
      </c>
      <c r="F14" s="95">
        <f t="shared" si="1"/>
        <v>0</v>
      </c>
      <c r="G14" s="95">
        <f t="shared" si="1"/>
        <v>0</v>
      </c>
      <c r="H14" s="95">
        <f t="shared" si="1"/>
        <v>-1.8003240000000001E-3</v>
      </c>
      <c r="I14" s="95">
        <f t="shared" si="1"/>
        <v>-1.9552356000000003E-2</v>
      </c>
      <c r="J14" s="95">
        <f t="shared" si="1"/>
        <v>0</v>
      </c>
      <c r="K14" s="95">
        <f t="shared" si="1"/>
        <v>0</v>
      </c>
      <c r="L14" s="95">
        <f t="shared" si="1"/>
        <v>-4.5905724799199996</v>
      </c>
      <c r="M14" s="95">
        <f t="shared" si="1"/>
        <v>0</v>
      </c>
      <c r="N14" s="95">
        <f t="shared" si="1"/>
        <v>0</v>
      </c>
      <c r="O14" s="95">
        <f t="shared" si="1"/>
        <v>0.27588081240000001</v>
      </c>
      <c r="P14" s="95"/>
      <c r="Q14" s="95"/>
      <c r="R14" s="95"/>
      <c r="S14" s="95">
        <f t="shared" si="1"/>
        <v>0</v>
      </c>
      <c r="T14" s="95">
        <f t="shared" si="1"/>
        <v>0</v>
      </c>
      <c r="U14" s="95">
        <f t="shared" si="1"/>
        <v>36.392921640000004</v>
      </c>
      <c r="V14" s="96">
        <f>SUM(V10:V13)</f>
        <v>-26.163120607199989</v>
      </c>
    </row>
    <row r="15" spans="2:27" x14ac:dyDescent="0.2">
      <c r="D15" s="5"/>
      <c r="F15" s="5"/>
      <c r="G15" s="5"/>
      <c r="H15" s="5"/>
      <c r="I15" s="5"/>
      <c r="J15" s="5"/>
      <c r="K15" s="5"/>
      <c r="L15" s="5"/>
      <c r="M15" s="5"/>
    </row>
    <row r="16" spans="2:27" x14ac:dyDescent="0.2">
      <c r="D16" s="5"/>
      <c r="F16" s="5"/>
      <c r="G16" s="5"/>
      <c r="H16" s="5"/>
      <c r="I16" s="5"/>
      <c r="J16" s="5"/>
      <c r="K16" s="5"/>
      <c r="L16" s="5"/>
      <c r="M16" s="5"/>
    </row>
    <row r="17" spans="3:13" ht="15" x14ac:dyDescent="0.25">
      <c r="C17" s="37" t="s">
        <v>113</v>
      </c>
      <c r="D17" s="37"/>
      <c r="E17" s="37"/>
      <c r="F17" s="5"/>
      <c r="G17" s="5"/>
      <c r="H17" s="5"/>
      <c r="I17" s="5"/>
      <c r="J17" s="5"/>
      <c r="K17" s="5"/>
      <c r="L17" s="5"/>
      <c r="M17" s="5"/>
    </row>
    <row r="20" spans="3:13" x14ac:dyDescent="0.2">
      <c r="D20" s="18" t="s">
        <v>44</v>
      </c>
      <c r="E20" s="18" t="s">
        <v>45</v>
      </c>
      <c r="F20" s="18" t="s">
        <v>46</v>
      </c>
    </row>
    <row r="21" spans="3:13" x14ac:dyDescent="0.2">
      <c r="C21" s="19" t="s">
        <v>89</v>
      </c>
      <c r="D21" s="20">
        <v>1</v>
      </c>
      <c r="E21" s="20">
        <v>1</v>
      </c>
      <c r="F21" s="20">
        <v>1</v>
      </c>
    </row>
    <row r="22" spans="3:13" x14ac:dyDescent="0.2">
      <c r="C22" s="21" t="s">
        <v>90</v>
      </c>
      <c r="D22" s="22">
        <v>0</v>
      </c>
      <c r="E22" s="22">
        <v>0</v>
      </c>
      <c r="F22" s="2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44"/>
  <sheetViews>
    <sheetView zoomScale="60" zoomScaleNormal="60" workbookViewId="0">
      <selection activeCell="S15" sqref="S15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13" max="13" width="6.7109375" customWidth="1"/>
    <col min="14" max="14" width="26.140625" customWidth="1"/>
    <col min="15" max="15" width="22.5703125" customWidth="1"/>
    <col min="18" max="18" width="2.7109375" customWidth="1"/>
  </cols>
  <sheetData>
    <row r="3" spans="2:18" ht="18" x14ac:dyDescent="0.25">
      <c r="B3" s="48" t="s">
        <v>116</v>
      </c>
    </row>
    <row r="5" spans="2:18" ht="18" x14ac:dyDescent="0.25">
      <c r="D5" s="106" t="s">
        <v>122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8"/>
      <c r="R5" s="56"/>
    </row>
    <row r="6" spans="2:18" ht="12.75" customHeight="1" x14ac:dyDescent="0.2">
      <c r="D6" s="49" t="s">
        <v>118</v>
      </c>
      <c r="E6" s="49"/>
      <c r="F6" s="49"/>
      <c r="G6" s="49"/>
      <c r="H6" s="49"/>
      <c r="I6" s="49"/>
      <c r="M6" s="49" t="s">
        <v>117</v>
      </c>
      <c r="N6" s="49"/>
      <c r="O6" s="49"/>
      <c r="P6" s="49"/>
      <c r="Q6" s="25"/>
    </row>
    <row r="7" spans="2:18" x14ac:dyDescent="0.2">
      <c r="M7" s="49" t="s">
        <v>119</v>
      </c>
      <c r="N7" s="49"/>
      <c r="O7" s="49"/>
      <c r="P7" s="49"/>
    </row>
    <row r="44" spans="14:16" x14ac:dyDescent="0.2">
      <c r="N44" s="25"/>
      <c r="O44" s="25"/>
      <c r="P44" s="25"/>
    </row>
  </sheetData>
  <mergeCells count="1">
    <mergeCell ref="D5:Q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4"/>
  <sheetViews>
    <sheetView zoomScaleNormal="100" workbookViewId="0">
      <selection activeCell="E17" sqref="E17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42578125" customWidth="1"/>
    <col min="6" max="6" width="8.42578125" bestFit="1" customWidth="1"/>
    <col min="7" max="7" width="14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140625" bestFit="1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17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75" x14ac:dyDescent="0.25">
      <c r="B2" s="8"/>
      <c r="C2" s="8" t="str">
        <f>'EB1'!D2</f>
        <v>COA</v>
      </c>
      <c r="D2" s="8" t="str">
        <f>'EB1'!D3</f>
        <v>Solid Fuels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3.25" thickBot="1" x14ac:dyDescent="0.25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">
      <c r="I5" s="82" t="s">
        <v>65</v>
      </c>
      <c r="J5" s="86"/>
      <c r="K5" s="82" t="str">
        <f>C2</f>
        <v>COA</v>
      </c>
      <c r="L5" s="82" t="str">
        <f>D2</f>
        <v>Solid Fuels</v>
      </c>
      <c r="M5" s="82" t="str">
        <f>$E$2</f>
        <v>PJ</v>
      </c>
      <c r="N5" s="82"/>
      <c r="O5" s="82"/>
      <c r="P5" s="82"/>
      <c r="Q5" s="82"/>
    </row>
    <row r="7" spans="2:17" x14ac:dyDescent="0.2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3.25" thickBot="1" x14ac:dyDescent="0.25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5" thickBot="1" x14ac:dyDescent="0.25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">
      <c r="B11" s="1" t="str">
        <f>K11</f>
        <v>MINCOA1</v>
      </c>
      <c r="C11" s="1"/>
      <c r="D11" s="1" t="str">
        <f>$K$5</f>
        <v>COA</v>
      </c>
      <c r="E11" s="44">
        <v>0.4</v>
      </c>
      <c r="F11" s="46">
        <v>2</v>
      </c>
      <c r="G11" s="103">
        <f>'EB1'!$D$5*'EB1'!D21</f>
        <v>0.49906656000000005</v>
      </c>
      <c r="I11" s="82" t="str">
        <f>'EB1'!$B$5</f>
        <v>MIN</v>
      </c>
      <c r="J11" s="86"/>
      <c r="K11" s="86" t="str">
        <f>$I$11&amp;$C$2&amp;1</f>
        <v>MINCOA1</v>
      </c>
      <c r="L11" s="88" t="str">
        <f>"Domestic Supply of "&amp;$D$2&amp; " Step "&amp;RIGHT(K11,1)</f>
        <v>Domestic Supply of Solid Fuels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">
      <c r="B12" s="1" t="str">
        <f>K12</f>
        <v>IMPCOA1</v>
      </c>
      <c r="C12" s="1"/>
      <c r="D12" s="1" t="str">
        <f>$K$5</f>
        <v>COA</v>
      </c>
      <c r="E12" s="1"/>
      <c r="F12" s="46">
        <v>2.75</v>
      </c>
      <c r="G12" s="5"/>
      <c r="I12" s="86" t="str">
        <f>'EB1'!$B$6</f>
        <v>IMP</v>
      </c>
      <c r="J12" s="86"/>
      <c r="K12" s="86" t="str">
        <f>$I$12&amp;$C$2&amp;1</f>
        <v>IMPCOA1</v>
      </c>
      <c r="L12" s="88" t="str">
        <f>"Import of "&amp;$D$2&amp; " Step "&amp;RIGHT(K12,1)</f>
        <v>Import of Solid Fuels Step 1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">
      <c r="B13" s="1" t="str">
        <f>K13</f>
        <v>EXPCOA1</v>
      </c>
      <c r="C13" s="1" t="str">
        <f>$K$5</f>
        <v>COA</v>
      </c>
      <c r="D13" s="1"/>
      <c r="F13" s="46"/>
      <c r="G13" s="41">
        <f>-'EB1'!D7</f>
        <v>0</v>
      </c>
      <c r="I13" s="86" t="str">
        <f>'EB1'!B7</f>
        <v>EXP</v>
      </c>
      <c r="J13" s="86"/>
      <c r="K13" s="86" t="str">
        <f>$I$13&amp;$C$2&amp;1</f>
        <v>EXPCOA1</v>
      </c>
      <c r="L13" s="88" t="str">
        <f>"Export of "&amp;$D$2&amp; " Step "&amp;RIGHT(K13,1)</f>
        <v>Export of Solid Fuels Step 1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">
      <c r="B14" s="1"/>
      <c r="C14" s="1"/>
      <c r="E14" s="1"/>
      <c r="G14" s="9"/>
    </row>
    <row r="15" spans="2:17" x14ac:dyDescent="0.2">
      <c r="B15" s="1"/>
    </row>
    <row r="20" spans="2:18" s="1" customFormat="1" x14ac:dyDescent="0.2"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2:18" x14ac:dyDescent="0.2">
      <c r="R21" s="1"/>
    </row>
    <row r="23" spans="2:18" x14ac:dyDescent="0.2">
      <c r="B23" s="44"/>
      <c r="C23" s="1" t="s">
        <v>114</v>
      </c>
    </row>
    <row r="24" spans="2:18" x14ac:dyDescent="0.2">
      <c r="B24" s="42"/>
      <c r="C24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4"/>
  <sheetViews>
    <sheetView zoomScaleNormal="100" workbookViewId="0">
      <selection activeCell="E17" sqref="E17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5703125" bestFit="1" customWidth="1"/>
    <col min="6" max="6" width="8.7109375" customWidth="1"/>
    <col min="7" max="7" width="14.28515625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7109375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17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75" x14ac:dyDescent="0.25">
      <c r="B2" s="8"/>
      <c r="C2" s="8" t="str">
        <f>'EB1'!E2</f>
        <v>GAS</v>
      </c>
      <c r="D2" s="8" t="str">
        <f>'EB1'!E3</f>
        <v>Natural Gas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3.25" thickBot="1" x14ac:dyDescent="0.25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">
      <c r="I5" s="82" t="s">
        <v>65</v>
      </c>
      <c r="J5" s="86"/>
      <c r="K5" s="82" t="str">
        <f>C2</f>
        <v>GAS</v>
      </c>
      <c r="L5" s="82" t="str">
        <f>D2</f>
        <v>Natural Gas</v>
      </c>
      <c r="M5" s="82" t="str">
        <f>$E$2</f>
        <v>PJ</v>
      </c>
      <c r="N5" s="82"/>
      <c r="O5" s="82"/>
      <c r="P5" s="82"/>
      <c r="Q5" s="82"/>
    </row>
    <row r="7" spans="2:17" x14ac:dyDescent="0.2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3.25" thickBot="1" x14ac:dyDescent="0.25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5" thickBot="1" x14ac:dyDescent="0.25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">
      <c r="B11" s="1" t="str">
        <f>K11</f>
        <v>MINGAS1</v>
      </c>
      <c r="C11" s="1"/>
      <c r="D11" s="1" t="str">
        <f>$K$5</f>
        <v>GAS</v>
      </c>
      <c r="E11" s="39"/>
      <c r="F11" s="45"/>
      <c r="G11" s="104">
        <f>'EB1'!$E$5*'EB1'!E21</f>
        <v>0</v>
      </c>
      <c r="I11" s="82" t="str">
        <f>'EB1'!$B$5</f>
        <v>MIN</v>
      </c>
      <c r="J11" s="86"/>
      <c r="K11" s="86" t="str">
        <f>$I$11&amp;$C$2&amp;1</f>
        <v>MINGAS1</v>
      </c>
      <c r="L11" s="88" t="str">
        <f>"Domestic Supply of "&amp;$D$2&amp; " Step "&amp;RIGHT(K11,1)</f>
        <v>Domestic Supply of Natural Gas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">
      <c r="B12" s="1" t="str">
        <f>K12</f>
        <v>MINGAS2</v>
      </c>
      <c r="C12" s="1"/>
      <c r="D12" s="1" t="str">
        <f>$K$5</f>
        <v>GAS</v>
      </c>
      <c r="E12" s="39"/>
      <c r="F12" s="45"/>
      <c r="G12" s="104">
        <f>'EB1'!$E$5*'EB1'!E22</f>
        <v>0</v>
      </c>
      <c r="I12" s="86"/>
      <c r="J12" s="86"/>
      <c r="K12" s="86" t="str">
        <f>$I$11&amp;$C$2&amp;2</f>
        <v>MINGAS2</v>
      </c>
      <c r="L12" s="88" t="str">
        <f>"Domestic Supply of "&amp;$D$2&amp; " Step "&amp;RIGHT(K12,1)</f>
        <v>Domestic Supply of Natural Gas Step 2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">
      <c r="B13" s="1" t="str">
        <f>K13</f>
        <v>MINGAS3</v>
      </c>
      <c r="C13" s="1"/>
      <c r="D13" s="1" t="str">
        <f>$K$5</f>
        <v>GAS</v>
      </c>
      <c r="E13" s="45"/>
      <c r="F13" s="45"/>
      <c r="G13" s="105">
        <v>0</v>
      </c>
      <c r="I13" s="86"/>
      <c r="J13" s="86"/>
      <c r="K13" s="86" t="str">
        <f>$I$11&amp;$C$2&amp;3</f>
        <v>MINGAS3</v>
      </c>
      <c r="L13" s="88" t="str">
        <f>"Domestic Supply of "&amp;$D$2&amp; " Step "&amp;RIGHT(K13,1)</f>
        <v>Domestic Supply of Natural Gas Step 3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">
      <c r="B14" s="1" t="str">
        <f>K14</f>
        <v>IMPGAS1</v>
      </c>
      <c r="C14" s="1"/>
      <c r="D14" s="1" t="str">
        <f>$K$5</f>
        <v>GAS</v>
      </c>
      <c r="F14" s="45">
        <v>4.5</v>
      </c>
      <c r="G14" s="104"/>
      <c r="I14" s="86" t="str">
        <f>'EB1'!$B$6</f>
        <v>IMP</v>
      </c>
      <c r="J14" s="86"/>
      <c r="K14" s="86" t="str">
        <f>$I$14&amp;$C$2&amp;1</f>
        <v>IMPGAS1</v>
      </c>
      <c r="L14" s="88" t="str">
        <f>"Import of "&amp;$D$2&amp; " Step "&amp;RIGHT(K14,1)</f>
        <v>Import of Natural Gas Step 1</v>
      </c>
      <c r="M14" s="86" t="str">
        <f>$E$2</f>
        <v>PJ</v>
      </c>
      <c r="N14" s="86" t="str">
        <f>$E$2&amp;"a"</f>
        <v>PJa</v>
      </c>
      <c r="O14" s="86"/>
      <c r="P14" s="86"/>
      <c r="Q14" s="86"/>
    </row>
    <row r="15" spans="2:17" x14ac:dyDescent="0.2">
      <c r="B15" s="1" t="str">
        <f>K15</f>
        <v>EXPGAS1</v>
      </c>
      <c r="C15" s="1" t="str">
        <f>$K$5</f>
        <v>GAS</v>
      </c>
      <c r="F15" s="45"/>
      <c r="G15" s="104">
        <f>-'EB1'!E7</f>
        <v>0</v>
      </c>
      <c r="I15" s="86" t="str">
        <f>'EB1'!B7</f>
        <v>EXP</v>
      </c>
      <c r="J15" s="86"/>
      <c r="K15" s="86" t="str">
        <f>$I$15&amp;$C$2&amp;1</f>
        <v>EXPGAS1</v>
      </c>
      <c r="L15" s="88" t="str">
        <f>"Export of "&amp;$D$2&amp; " Step "&amp;RIGHT(K15,1)</f>
        <v>Export of Natural Gas Step 1</v>
      </c>
      <c r="M15" s="86" t="str">
        <f>$E$2</f>
        <v>PJ</v>
      </c>
      <c r="N15" s="86" t="str">
        <f>$E$2&amp;"a"</f>
        <v>PJa</v>
      </c>
      <c r="O15" s="86"/>
      <c r="P15" s="86"/>
      <c r="Q15" s="86"/>
    </row>
    <row r="16" spans="2:17" x14ac:dyDescent="0.2">
      <c r="B16" s="1"/>
      <c r="F16" s="47"/>
    </row>
    <row r="22" spans="2:18" x14ac:dyDescent="0.2">
      <c r="B22" s="44"/>
      <c r="C22" s="1" t="s">
        <v>114</v>
      </c>
    </row>
    <row r="23" spans="2:18" s="1" customFormat="1" x14ac:dyDescent="0.2">
      <c r="B23" s="42"/>
      <c r="C23" s="1" t="s">
        <v>115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2:18" x14ac:dyDescent="0.2">
      <c r="H24" s="1"/>
      <c r="R2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4"/>
  <sheetViews>
    <sheetView zoomScaleNormal="100" workbookViewId="0">
      <selection activeCell="B7" sqref="B7:G15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5703125" bestFit="1" customWidth="1"/>
    <col min="6" max="6" width="8.140625" customWidth="1"/>
    <col min="7" max="7" width="14.140625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5703125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17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75" x14ac:dyDescent="0.25">
      <c r="B2" s="8"/>
      <c r="C2" s="8" t="str">
        <f>'EB1'!F2</f>
        <v>OIL</v>
      </c>
      <c r="D2" s="8" t="str">
        <f>'EB1'!F3</f>
        <v>Crude Oil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3.25" thickBot="1" x14ac:dyDescent="0.25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">
      <c r="I5" s="82" t="s">
        <v>65</v>
      </c>
      <c r="J5" s="86"/>
      <c r="K5" s="82" t="str">
        <f>C2</f>
        <v>OIL</v>
      </c>
      <c r="L5" s="82" t="str">
        <f>D2</f>
        <v>Crude Oil</v>
      </c>
      <c r="M5" s="82" t="str">
        <f>$E$2</f>
        <v>PJ</v>
      </c>
      <c r="N5" s="82"/>
      <c r="O5" s="82"/>
      <c r="P5" s="82"/>
      <c r="Q5" s="82"/>
    </row>
    <row r="7" spans="2:17" x14ac:dyDescent="0.2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3.25" thickBot="1" x14ac:dyDescent="0.25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5" thickBot="1" x14ac:dyDescent="0.25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">
      <c r="B11" s="1" t="str">
        <f>K11</f>
        <v>MINOIL1</v>
      </c>
      <c r="C11" s="1"/>
      <c r="D11" s="1" t="str">
        <f>$K$5</f>
        <v>OIL</v>
      </c>
      <c r="E11" s="36"/>
      <c r="F11" s="45"/>
      <c r="G11" s="43">
        <f>'EB1'!$F$5*'EB1'!F21</f>
        <v>0</v>
      </c>
      <c r="I11" s="82" t="str">
        <f>'EB1'!$B$5</f>
        <v>MIN</v>
      </c>
      <c r="J11" s="86"/>
      <c r="K11" s="86" t="str">
        <f>$I$11&amp;$C$2&amp;1</f>
        <v>MINOIL1</v>
      </c>
      <c r="L11" s="88" t="str">
        <f>"Domestic Supply of "&amp;$D$2&amp; " Step "&amp;RIGHT(K11,1)</f>
        <v>Domestic Supply of Crude Oil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">
      <c r="B12" s="1" t="str">
        <f>K12</f>
        <v>MINOIL2</v>
      </c>
      <c r="C12" s="1"/>
      <c r="D12" s="1" t="str">
        <f>$K$5</f>
        <v>OIL</v>
      </c>
      <c r="E12" s="36"/>
      <c r="F12" s="45"/>
      <c r="G12" s="43">
        <f>'EB1'!$F$5*'EB1'!F22</f>
        <v>0</v>
      </c>
      <c r="I12" s="86"/>
      <c r="J12" s="86"/>
      <c r="K12" s="86" t="str">
        <f>$I$11&amp;$C$2&amp;2</f>
        <v>MINOIL2</v>
      </c>
      <c r="L12" s="88" t="str">
        <f>"Domestic Supply of "&amp;$D$2&amp; " Step "&amp;RIGHT(K12,1)</f>
        <v>Domestic Supply of Crude Oil Step 2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">
      <c r="B13" s="1" t="str">
        <f>K13</f>
        <v>MINOIL3</v>
      </c>
      <c r="C13" s="1"/>
      <c r="D13" s="1" t="str">
        <f>$K$5</f>
        <v>OIL</v>
      </c>
      <c r="E13" s="36"/>
      <c r="F13" s="45"/>
      <c r="G13" s="24"/>
      <c r="I13" s="86"/>
      <c r="J13" s="86"/>
      <c r="K13" s="86" t="str">
        <f>$I$11&amp;$C$2&amp;3</f>
        <v>MINOIL3</v>
      </c>
      <c r="L13" s="88" t="str">
        <f>"Domestic Supply of "&amp;$D$2&amp; " Step "&amp;RIGHT(K13,1)</f>
        <v>Domestic Supply of Crude Oil Step 3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">
      <c r="B14" s="1" t="str">
        <f>K14</f>
        <v>IMPOIL1</v>
      </c>
      <c r="C14" s="1"/>
      <c r="D14" s="1" t="str">
        <f>$K$5</f>
        <v>OIL</v>
      </c>
      <c r="E14" s="36"/>
      <c r="F14" s="45"/>
      <c r="G14" s="24"/>
      <c r="I14" s="86" t="str">
        <f>'EB1'!$B$6</f>
        <v>IMP</v>
      </c>
      <c r="J14" s="86"/>
      <c r="K14" s="86" t="str">
        <f>$I$14&amp;$C$2&amp;1</f>
        <v>IMPOIL1</v>
      </c>
      <c r="L14" s="88" t="str">
        <f>"Import of "&amp;$D$2&amp; " Step "&amp;RIGHT(K14,1)</f>
        <v>Import of Crude Oil Step 1</v>
      </c>
      <c r="M14" s="86" t="str">
        <f>$E$2</f>
        <v>PJ</v>
      </c>
      <c r="N14" s="86" t="str">
        <f>$E$2&amp;"a"</f>
        <v>PJa</v>
      </c>
      <c r="O14" s="86"/>
      <c r="P14" s="86"/>
      <c r="Q14" s="86"/>
    </row>
    <row r="15" spans="2:17" x14ac:dyDescent="0.2">
      <c r="B15" s="1" t="str">
        <f>K15</f>
        <v>EXPOIL1</v>
      </c>
      <c r="C15" s="1" t="str">
        <f>$K$5</f>
        <v>OIL</v>
      </c>
      <c r="D15" s="1"/>
      <c r="E15" s="36"/>
      <c r="F15" s="45">
        <v>8</v>
      </c>
      <c r="G15" s="102">
        <f>-'EB1'!F7</f>
        <v>0</v>
      </c>
      <c r="I15" s="86" t="str">
        <f>'EB1'!B7</f>
        <v>EXP</v>
      </c>
      <c r="J15" s="86"/>
      <c r="K15" s="86" t="str">
        <f>$I$15&amp;$C$2&amp;1</f>
        <v>EXPOIL1</v>
      </c>
      <c r="L15" s="88" t="str">
        <f>"Export of "&amp;$D$2&amp; " Step "&amp;RIGHT(K15,1)</f>
        <v>Export of Crude Oil Step 1</v>
      </c>
      <c r="M15" s="86" t="str">
        <f>$E$2</f>
        <v>PJ</v>
      </c>
      <c r="N15" s="86" t="str">
        <f>$E$2&amp;"a"</f>
        <v>PJa</v>
      </c>
      <c r="O15" s="86"/>
      <c r="P15" s="86"/>
      <c r="Q15" s="86"/>
    </row>
    <row r="16" spans="2:17" x14ac:dyDescent="0.2">
      <c r="B16" s="1"/>
      <c r="C16" s="1"/>
      <c r="F16" s="47"/>
    </row>
    <row r="17" spans="2:23" x14ac:dyDescent="0.2">
      <c r="B17" s="1"/>
      <c r="F17" s="47"/>
    </row>
    <row r="18" spans="2:23" x14ac:dyDescent="0.2">
      <c r="T18" s="1"/>
      <c r="U18" s="1"/>
    </row>
    <row r="19" spans="2:23" x14ac:dyDescent="0.2">
      <c r="S19" s="1"/>
      <c r="V19" s="1"/>
      <c r="W19" s="1"/>
    </row>
    <row r="23" spans="2:23" x14ac:dyDescent="0.2">
      <c r="B23" s="44"/>
      <c r="C23" s="1" t="s">
        <v>114</v>
      </c>
    </row>
    <row r="24" spans="2:23" x14ac:dyDescent="0.2">
      <c r="B24" s="42"/>
      <c r="C24" s="1" t="s">
        <v>115</v>
      </c>
      <c r="H2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26"/>
  <sheetViews>
    <sheetView zoomScaleNormal="100" workbookViewId="0">
      <selection activeCell="F18" sqref="F18"/>
    </sheetView>
  </sheetViews>
  <sheetFormatPr defaultColWidth="8.85546875" defaultRowHeight="12.75" x14ac:dyDescent="0.2"/>
  <cols>
    <col min="1" max="1" width="2" style="26" bestFit="1" customWidth="1"/>
    <col min="2" max="2" width="13.85546875" customWidth="1"/>
    <col min="3" max="3" width="11.85546875" bestFit="1" customWidth="1"/>
    <col min="4" max="4" width="14" bestFit="1" customWidth="1"/>
    <col min="5" max="5" width="8.42578125" bestFit="1" customWidth="1"/>
    <col min="6" max="6" width="13.28515625" customWidth="1"/>
    <col min="7" max="7" width="2" style="26" bestFit="1" customWidth="1"/>
    <col min="8" max="8" width="11.85546875" bestFit="1" customWidth="1"/>
    <col min="9" max="9" width="7.42578125" bestFit="1" customWidth="1"/>
    <col min="10" max="10" width="12.140625" bestFit="1" customWidth="1"/>
    <col min="11" max="11" width="40.5703125" customWidth="1"/>
    <col min="12" max="12" width="6.140625" bestFit="1" customWidth="1"/>
    <col min="13" max="13" width="10.42578125" bestFit="1" customWidth="1"/>
    <col min="14" max="14" width="12.85546875" bestFit="1" customWidth="1"/>
    <col min="15" max="15" width="14.140625" bestFit="1" customWidth="1"/>
    <col min="16" max="16" width="8" bestFit="1" customWidth="1"/>
    <col min="17" max="16384" width="8.85546875" style="26"/>
  </cols>
  <sheetData>
    <row r="1" spans="2:16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75" x14ac:dyDescent="0.25">
      <c r="B2" s="8"/>
      <c r="C2" s="8" t="str">
        <f>'EB1'!O2</f>
        <v>BIO</v>
      </c>
      <c r="D2" s="8" t="str">
        <f>'EB1'!O3</f>
        <v>Biomass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75" x14ac:dyDescent="0.25">
      <c r="C3" s="8" t="str">
        <f>'EB1'!P2</f>
        <v>HYD</v>
      </c>
      <c r="D3" s="8" t="str">
        <f>'EB1'!P3</f>
        <v>Hydro power</v>
      </c>
      <c r="E3" s="8" t="str">
        <f>'EB1'!$Z$2</f>
        <v>PJ</v>
      </c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4" thickBot="1" x14ac:dyDescent="0.3">
      <c r="B4" s="1"/>
      <c r="C4" s="8" t="str">
        <f>'EB1'!Q2</f>
        <v>WIN</v>
      </c>
      <c r="D4" s="8" t="str">
        <f>'EB1'!Q3</f>
        <v>Wind energy</v>
      </c>
      <c r="E4" s="8" t="str">
        <f>'EB1'!$Z$2</f>
        <v>PJ</v>
      </c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75" x14ac:dyDescent="0.25">
      <c r="C5" s="8" t="str">
        <f>'EB1'!R2</f>
        <v>SOL</v>
      </c>
      <c r="D5" s="8" t="str">
        <f>'EB1'!R3</f>
        <v>Solar energy</v>
      </c>
      <c r="E5" s="8" t="str">
        <f>'EB1'!$Z$2</f>
        <v>PJ</v>
      </c>
      <c r="H5" s="82" t="s">
        <v>65</v>
      </c>
      <c r="I5" s="86"/>
      <c r="J5" s="82" t="str">
        <f t="shared" ref="J5:K8" si="0">C2</f>
        <v>BIO</v>
      </c>
      <c r="K5" s="82" t="str">
        <f t="shared" si="0"/>
        <v>Biomass</v>
      </c>
      <c r="L5" s="82" t="str">
        <f>$E$2</f>
        <v>PJ</v>
      </c>
      <c r="M5" s="82"/>
      <c r="N5" s="82"/>
      <c r="O5" s="82"/>
      <c r="P5" s="82"/>
    </row>
    <row r="6" spans="2:16" x14ac:dyDescent="0.2">
      <c r="H6" s="82"/>
      <c r="I6" s="86"/>
      <c r="J6" s="82" t="str">
        <f t="shared" si="0"/>
        <v>HYD</v>
      </c>
      <c r="K6" s="82" t="str">
        <f t="shared" si="0"/>
        <v>Hydro power</v>
      </c>
      <c r="L6" s="82" t="str">
        <f>$E$2</f>
        <v>PJ</v>
      </c>
      <c r="M6" s="82"/>
      <c r="N6" s="82"/>
      <c r="O6" s="82"/>
      <c r="P6" s="82"/>
    </row>
    <row r="7" spans="2:16" ht="15.75" x14ac:dyDescent="0.25">
      <c r="C7" s="7"/>
      <c r="D7" s="7"/>
      <c r="H7" s="82"/>
      <c r="I7" s="86"/>
      <c r="J7" s="82" t="str">
        <f t="shared" si="0"/>
        <v>WIN</v>
      </c>
      <c r="K7" s="82" t="str">
        <f t="shared" si="0"/>
        <v>Wind energy</v>
      </c>
      <c r="L7" s="82" t="str">
        <f>$E$2</f>
        <v>PJ</v>
      </c>
      <c r="M7" s="82"/>
      <c r="N7" s="82"/>
      <c r="O7" s="82"/>
      <c r="P7" s="82"/>
    </row>
    <row r="8" spans="2:16" ht="15.75" x14ac:dyDescent="0.25">
      <c r="C8" s="7"/>
      <c r="D8" s="7"/>
      <c r="H8" s="82"/>
      <c r="I8" s="86"/>
      <c r="J8" s="82" t="str">
        <f t="shared" si="0"/>
        <v>SOL</v>
      </c>
      <c r="K8" s="82" t="str">
        <f t="shared" si="0"/>
        <v>Solar energy</v>
      </c>
      <c r="L8" s="82" t="str">
        <f>$E$2</f>
        <v>PJ</v>
      </c>
      <c r="M8" s="82"/>
      <c r="N8" s="82"/>
      <c r="O8" s="82"/>
      <c r="P8" s="82"/>
    </row>
    <row r="10" spans="2:16" x14ac:dyDescent="0.2">
      <c r="D10" s="4" t="s">
        <v>13</v>
      </c>
      <c r="E10" s="4"/>
      <c r="H10" s="81" t="s">
        <v>15</v>
      </c>
      <c r="I10" s="81"/>
      <c r="J10" s="86"/>
      <c r="K10" s="86"/>
      <c r="L10" s="86"/>
      <c r="M10" s="86"/>
      <c r="N10" s="86"/>
      <c r="O10" s="86"/>
      <c r="P10" s="86"/>
    </row>
    <row r="11" spans="2:16" x14ac:dyDescent="0.2">
      <c r="B11" s="3" t="s">
        <v>1</v>
      </c>
      <c r="C11" s="14" t="s">
        <v>5</v>
      </c>
      <c r="D11" s="3" t="s">
        <v>6</v>
      </c>
      <c r="E11" s="51" t="s">
        <v>35</v>
      </c>
      <c r="F11" s="51" t="s">
        <v>72</v>
      </c>
      <c r="H11" s="83" t="s">
        <v>11</v>
      </c>
      <c r="I11" s="84" t="s">
        <v>30</v>
      </c>
      <c r="J11" s="83" t="s">
        <v>1</v>
      </c>
      <c r="K11" s="83" t="s">
        <v>2</v>
      </c>
      <c r="L11" s="83" t="s">
        <v>16</v>
      </c>
      <c r="M11" s="83" t="s">
        <v>17</v>
      </c>
      <c r="N11" s="83" t="s">
        <v>18</v>
      </c>
      <c r="O11" s="83" t="s">
        <v>19</v>
      </c>
      <c r="P11" s="83" t="s">
        <v>20</v>
      </c>
    </row>
    <row r="12" spans="2:16" ht="23.25" thickBot="1" x14ac:dyDescent="0.25">
      <c r="B12" s="11" t="s">
        <v>39</v>
      </c>
      <c r="C12" s="11" t="s">
        <v>32</v>
      </c>
      <c r="D12" s="11" t="s">
        <v>33</v>
      </c>
      <c r="E12" s="11" t="s">
        <v>79</v>
      </c>
      <c r="F12" s="11" t="s">
        <v>78</v>
      </c>
      <c r="H12" s="85" t="s">
        <v>38</v>
      </c>
      <c r="I12" s="85" t="s">
        <v>31</v>
      </c>
      <c r="J12" s="85" t="s">
        <v>21</v>
      </c>
      <c r="K12" s="85" t="s">
        <v>22</v>
      </c>
      <c r="L12" s="85" t="s">
        <v>23</v>
      </c>
      <c r="M12" s="85" t="s">
        <v>24</v>
      </c>
      <c r="N12" s="85" t="s">
        <v>43</v>
      </c>
      <c r="O12" s="85" t="s">
        <v>42</v>
      </c>
      <c r="P12" s="85" t="s">
        <v>25</v>
      </c>
    </row>
    <row r="13" spans="2:16" ht="13.5" thickBot="1" x14ac:dyDescent="0.25">
      <c r="B13" s="11" t="s">
        <v>77</v>
      </c>
      <c r="C13" s="10"/>
      <c r="D13" s="10"/>
      <c r="E13" s="10" t="str">
        <f>$F$2&amp;"/"&amp;$E$2</f>
        <v>M$2021/PJ</v>
      </c>
      <c r="F13" s="10" t="str">
        <f>$E$2</f>
        <v>PJ</v>
      </c>
      <c r="H13" s="85" t="s">
        <v>73</v>
      </c>
      <c r="I13" s="87"/>
      <c r="J13" s="87"/>
      <c r="K13" s="87"/>
      <c r="L13" s="87"/>
      <c r="M13" s="87"/>
      <c r="N13" s="87"/>
      <c r="O13" s="87"/>
      <c r="P13" s="87"/>
    </row>
    <row r="14" spans="2:16" x14ac:dyDescent="0.2">
      <c r="B14" s="1" t="str">
        <f>J14</f>
        <v>MINBIO1</v>
      </c>
      <c r="C14" s="1"/>
      <c r="D14" s="1" t="str">
        <f>J5</f>
        <v>BIO</v>
      </c>
      <c r="E14" s="36">
        <v>4.0500000000000007</v>
      </c>
      <c r="F14" s="53">
        <v>188</v>
      </c>
      <c r="H14" s="82" t="str">
        <f>'EB1'!$B$5</f>
        <v>MIN</v>
      </c>
      <c r="I14" s="86"/>
      <c r="J14" s="86" t="str">
        <f>$H$14&amp;C2&amp;1</f>
        <v>MINBIO1</v>
      </c>
      <c r="K14" s="88" t="str">
        <f>"Domestic Supply of "&amp;D2&amp; " Step "&amp;RIGHT(J14,1)</f>
        <v>Domestic Supply of Biomass Step 1</v>
      </c>
      <c r="L14" s="86" t="str">
        <f>$E$2</f>
        <v>PJ</v>
      </c>
      <c r="M14" s="86" t="str">
        <f>$E$2&amp;"a"</f>
        <v>PJa</v>
      </c>
      <c r="N14" s="86"/>
      <c r="O14" s="86"/>
      <c r="P14" s="86"/>
    </row>
    <row r="15" spans="2:16" x14ac:dyDescent="0.2">
      <c r="B15" s="1" t="str">
        <f>J15</f>
        <v>MINHYD1</v>
      </c>
      <c r="C15" s="1"/>
      <c r="D15" s="1" t="str">
        <f>J6</f>
        <v>HYD</v>
      </c>
      <c r="E15" s="52"/>
      <c r="F15" s="53"/>
      <c r="H15" s="86"/>
      <c r="I15" s="86"/>
      <c r="J15" s="86" t="str">
        <f>$H$14&amp;C3&amp;1</f>
        <v>MINHYD1</v>
      </c>
      <c r="K15" s="88" t="str">
        <f>"Domestic Supply of "&amp;D3&amp; " Step "&amp;RIGHT(J15,1)</f>
        <v>Domestic Supply of Hydro power Step 1</v>
      </c>
      <c r="L15" s="86" t="str">
        <f>$E$2</f>
        <v>PJ</v>
      </c>
      <c r="M15" s="86" t="str">
        <f>$E$2&amp;"a"</f>
        <v>PJa</v>
      </c>
      <c r="N15" s="86"/>
      <c r="O15" s="86"/>
      <c r="P15" s="86"/>
    </row>
    <row r="16" spans="2:16" x14ac:dyDescent="0.2">
      <c r="B16" s="1" t="str">
        <f>J16</f>
        <v>MINWIN1</v>
      </c>
      <c r="C16" s="1"/>
      <c r="D16" s="1" t="str">
        <f>J7</f>
        <v>WIN</v>
      </c>
      <c r="E16" s="52"/>
      <c r="F16" s="53"/>
      <c r="H16" s="86"/>
      <c r="I16" s="86"/>
      <c r="J16" s="86" t="str">
        <f>$H$14&amp;C4&amp;1</f>
        <v>MINWIN1</v>
      </c>
      <c r="K16" s="88" t="str">
        <f>"Domestic Supply of "&amp;D4&amp; " Step "&amp;RIGHT(J16,1)</f>
        <v>Domestic Supply of Wind energy Step 1</v>
      </c>
      <c r="L16" s="86" t="str">
        <f>$E$2</f>
        <v>PJ</v>
      </c>
      <c r="M16" s="86" t="str">
        <f>$E$2&amp;"a"</f>
        <v>PJa</v>
      </c>
      <c r="N16" s="86"/>
      <c r="O16" s="86"/>
      <c r="P16" s="86"/>
    </row>
    <row r="17" spans="2:16" x14ac:dyDescent="0.2">
      <c r="B17" s="1" t="str">
        <f>J17</f>
        <v>MINSOL1</v>
      </c>
      <c r="C17" s="1"/>
      <c r="D17" s="1" t="str">
        <f>J8</f>
        <v>SOL</v>
      </c>
      <c r="E17" s="24"/>
      <c r="H17" s="86"/>
      <c r="I17" s="86"/>
      <c r="J17" s="86" t="str">
        <f>$H$14&amp;C5&amp;1</f>
        <v>MINSOL1</v>
      </c>
      <c r="K17" s="88" t="str">
        <f>"Domestic Supply of "&amp;D5&amp; " Step "&amp;RIGHT(J17,1)</f>
        <v>Domestic Supply of Solar energy Step 1</v>
      </c>
      <c r="L17" s="86" t="str">
        <f>$E$2</f>
        <v>PJ</v>
      </c>
      <c r="M17" s="86" t="str">
        <f>$E$2&amp;"a"</f>
        <v>PJa</v>
      </c>
      <c r="N17" s="86"/>
      <c r="O17" s="86"/>
      <c r="P17" s="86"/>
    </row>
    <row r="18" spans="2:16" x14ac:dyDescent="0.2">
      <c r="B18" s="1"/>
      <c r="C18" s="1"/>
      <c r="E18" s="1"/>
      <c r="F18" s="5"/>
    </row>
    <row r="19" spans="2:16" x14ac:dyDescent="0.2">
      <c r="B19" s="26"/>
      <c r="C19" s="26"/>
    </row>
    <row r="20" spans="2:16" x14ac:dyDescent="0.2">
      <c r="B20" s="36"/>
      <c r="C20" s="1" t="s">
        <v>114</v>
      </c>
    </row>
    <row r="21" spans="2:16" x14ac:dyDescent="0.2">
      <c r="B21" s="42"/>
      <c r="C21" s="1" t="s">
        <v>115</v>
      </c>
    </row>
    <row r="22" spans="2:16" ht="19.5" customHeight="1" x14ac:dyDescent="0.2"/>
    <row r="25" spans="2:16" x14ac:dyDescent="0.2">
      <c r="B25" s="26"/>
      <c r="C25" s="26"/>
      <c r="D25" s="26"/>
    </row>
    <row r="26" spans="2:16" x14ac:dyDescent="0.2">
      <c r="B26" s="26"/>
      <c r="C26" s="26"/>
      <c r="D26" s="26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36"/>
  <sheetViews>
    <sheetView topLeftCell="A12" zoomScaleNormal="100" workbookViewId="0">
      <selection activeCell="D28" sqref="D28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85546875" bestFit="1" customWidth="1"/>
    <col min="4" max="4" width="27.42578125" bestFit="1" customWidth="1"/>
    <col min="5" max="5" width="8.42578125" bestFit="1" customWidth="1"/>
    <col min="6" max="6" width="13.7109375" customWidth="1"/>
    <col min="7" max="7" width="2" bestFit="1" customWidth="1"/>
    <col min="8" max="8" width="11.85546875" bestFit="1" customWidth="1"/>
    <col min="9" max="9" width="7.140625" customWidth="1"/>
    <col min="10" max="10" width="11.42578125" bestFit="1" customWidth="1"/>
    <col min="11" max="11" width="37.42578125" bestFit="1" customWidth="1"/>
    <col min="12" max="12" width="6.140625" bestFit="1" customWidth="1"/>
    <col min="13" max="13" width="11" customWidth="1"/>
    <col min="14" max="14" width="12.85546875" bestFit="1" customWidth="1"/>
    <col min="15" max="15" width="14.140625" bestFit="1" customWidth="1"/>
    <col min="16" max="16" width="8" bestFit="1" customWidth="1"/>
  </cols>
  <sheetData>
    <row r="1" spans="2:16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75" x14ac:dyDescent="0.25">
      <c r="B2" s="8" t="s">
        <v>112</v>
      </c>
      <c r="C2" s="8" t="str">
        <f>'EB1'!G$2</f>
        <v>DSL</v>
      </c>
      <c r="D2" s="8" t="str">
        <f>'EB1'!G$3</f>
        <v>Diesel oil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75" x14ac:dyDescent="0.25">
      <c r="C3" s="8" t="str">
        <f>'EB1'!H$2</f>
        <v>KER</v>
      </c>
      <c r="D3" s="8" t="str">
        <f>'EB1'!H$3</f>
        <v>Kerosenes</v>
      </c>
      <c r="E3" s="8" t="str">
        <f>'EB1'!$Z$2</f>
        <v>PJ</v>
      </c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4" thickBot="1" x14ac:dyDescent="0.3">
      <c r="C4" s="8" t="str">
        <f>'EB1'!I$2</f>
        <v>LPG</v>
      </c>
      <c r="D4" s="8" t="str">
        <f>'EB1'!I$3</f>
        <v>LPG</v>
      </c>
      <c r="E4" s="8" t="str">
        <f>'EB1'!$Z$2</f>
        <v>PJ</v>
      </c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75" x14ac:dyDescent="0.25">
      <c r="C5" s="8" t="str">
        <f>'EB1'!J$2</f>
        <v>GSL</v>
      </c>
      <c r="D5" s="8" t="str">
        <f>'EB1'!J$3</f>
        <v>Motor spirit</v>
      </c>
      <c r="E5" s="8" t="str">
        <f>'EB1'!$Z$2</f>
        <v>PJ</v>
      </c>
      <c r="H5" s="82" t="s">
        <v>65</v>
      </c>
      <c r="I5" s="86"/>
      <c r="J5" s="82" t="str">
        <f t="shared" ref="J5:K11" si="0">C2</f>
        <v>DSL</v>
      </c>
      <c r="K5" s="82" t="str">
        <f t="shared" si="0"/>
        <v>Diesel oil</v>
      </c>
      <c r="L5" s="82" t="str">
        <f t="shared" ref="L5:L11" si="1">$E$2</f>
        <v>PJ</v>
      </c>
      <c r="M5" s="82"/>
      <c r="N5" s="82"/>
      <c r="O5" s="82"/>
      <c r="P5" s="82"/>
    </row>
    <row r="6" spans="2:16" ht="15.75" x14ac:dyDescent="0.25">
      <c r="C6" s="8" t="str">
        <f>'EB1'!K$2</f>
        <v>NAP</v>
      </c>
      <c r="D6" s="8" t="str">
        <f>'EB1'!K$3</f>
        <v>Naphtha</v>
      </c>
      <c r="E6" s="8" t="str">
        <f>'EB1'!$Z$2</f>
        <v>PJ</v>
      </c>
      <c r="H6" s="82"/>
      <c r="I6" s="86"/>
      <c r="J6" s="82" t="str">
        <f t="shared" si="0"/>
        <v>KER</v>
      </c>
      <c r="K6" s="82" t="str">
        <f t="shared" si="0"/>
        <v>Kerosenes</v>
      </c>
      <c r="L6" s="82" t="str">
        <f t="shared" si="1"/>
        <v>PJ</v>
      </c>
      <c r="M6" s="82"/>
      <c r="N6" s="82"/>
      <c r="O6" s="82"/>
      <c r="P6" s="82"/>
    </row>
    <row r="7" spans="2:16" ht="15.75" x14ac:dyDescent="0.25">
      <c r="C7" s="8" t="str">
        <f>'EB1'!L$2</f>
        <v>HFO</v>
      </c>
      <c r="D7" s="8" t="str">
        <f>'EB1'!L$3</f>
        <v>Heavy Fuel Oil</v>
      </c>
      <c r="E7" s="8" t="str">
        <f>'EB1'!$Z$2</f>
        <v>PJ</v>
      </c>
      <c r="H7" s="82"/>
      <c r="I7" s="86"/>
      <c r="J7" s="82" t="str">
        <f t="shared" si="0"/>
        <v>LPG</v>
      </c>
      <c r="K7" s="82" t="str">
        <f t="shared" si="0"/>
        <v>LPG</v>
      </c>
      <c r="L7" s="82" t="str">
        <f t="shared" si="1"/>
        <v>PJ</v>
      </c>
      <c r="M7" s="82"/>
      <c r="N7" s="82"/>
      <c r="O7" s="82"/>
      <c r="P7" s="82"/>
    </row>
    <row r="8" spans="2:16" ht="15.75" x14ac:dyDescent="0.25">
      <c r="C8" s="8" t="str">
        <f>'EB1'!M$2</f>
        <v>OPP</v>
      </c>
      <c r="D8" s="8" t="str">
        <f>'EB1'!M$3</f>
        <v>Other Petroleum Products</v>
      </c>
      <c r="E8" s="8" t="str">
        <f>'EB1'!$Z$2</f>
        <v>PJ</v>
      </c>
      <c r="H8" s="82"/>
      <c r="I8" s="86"/>
      <c r="J8" s="82" t="str">
        <f t="shared" si="0"/>
        <v>GSL</v>
      </c>
      <c r="K8" s="82" t="str">
        <f t="shared" si="0"/>
        <v>Motor spirit</v>
      </c>
      <c r="L8" s="82" t="str">
        <f t="shared" si="1"/>
        <v>PJ</v>
      </c>
      <c r="M8" s="82"/>
      <c r="N8" s="82"/>
      <c r="O8" s="82"/>
      <c r="P8" s="82"/>
    </row>
    <row r="9" spans="2:16" x14ac:dyDescent="0.2">
      <c r="H9" s="82"/>
      <c r="I9" s="86"/>
      <c r="J9" s="82" t="str">
        <f t="shared" si="0"/>
        <v>NAP</v>
      </c>
      <c r="K9" s="82" t="str">
        <f t="shared" si="0"/>
        <v>Naphtha</v>
      </c>
      <c r="L9" s="82" t="str">
        <f t="shared" si="1"/>
        <v>PJ</v>
      </c>
      <c r="M9" s="82"/>
      <c r="N9" s="82"/>
      <c r="O9" s="82"/>
      <c r="P9" s="82"/>
    </row>
    <row r="10" spans="2:16" x14ac:dyDescent="0.2">
      <c r="H10" s="82"/>
      <c r="I10" s="86"/>
      <c r="J10" s="82" t="str">
        <f t="shared" si="0"/>
        <v>HFO</v>
      </c>
      <c r="K10" s="82" t="str">
        <f t="shared" si="0"/>
        <v>Heavy Fuel Oil</v>
      </c>
      <c r="L10" s="82" t="str">
        <f t="shared" si="1"/>
        <v>PJ</v>
      </c>
      <c r="M10" s="82"/>
      <c r="N10" s="82"/>
      <c r="O10" s="82"/>
      <c r="P10" s="82"/>
    </row>
    <row r="11" spans="2:16" x14ac:dyDescent="0.2">
      <c r="H11" s="82"/>
      <c r="I11" s="86"/>
      <c r="J11" s="82" t="str">
        <f t="shared" si="0"/>
        <v>OPP</v>
      </c>
      <c r="K11" s="82" t="str">
        <f t="shared" si="0"/>
        <v>Other Petroleum Products</v>
      </c>
      <c r="L11" s="82" t="str">
        <f t="shared" si="1"/>
        <v>PJ</v>
      </c>
      <c r="M11" s="82"/>
      <c r="N11" s="82"/>
      <c r="O11" s="82"/>
      <c r="P11" s="82"/>
    </row>
    <row r="13" spans="2:16" x14ac:dyDescent="0.2">
      <c r="D13" s="4" t="s">
        <v>13</v>
      </c>
      <c r="E13" s="4"/>
      <c r="H13" s="81" t="s">
        <v>15</v>
      </c>
      <c r="I13" s="81"/>
      <c r="J13" s="86"/>
      <c r="K13" s="86"/>
      <c r="L13" s="86"/>
      <c r="M13" s="86"/>
      <c r="N13" s="86"/>
      <c r="O13" s="86"/>
      <c r="P13" s="86"/>
    </row>
    <row r="14" spans="2:16" x14ac:dyDescent="0.2">
      <c r="B14" s="3" t="s">
        <v>1</v>
      </c>
      <c r="C14" s="14" t="s">
        <v>5</v>
      </c>
      <c r="D14" s="3" t="s">
        <v>6</v>
      </c>
      <c r="E14" s="51" t="s">
        <v>35</v>
      </c>
      <c r="F14" s="51" t="s">
        <v>72</v>
      </c>
      <c r="H14" s="83" t="s">
        <v>11</v>
      </c>
      <c r="I14" s="84" t="s">
        <v>30</v>
      </c>
      <c r="J14" s="83" t="s">
        <v>1</v>
      </c>
      <c r="K14" s="83" t="s">
        <v>2</v>
      </c>
      <c r="L14" s="83" t="s">
        <v>16</v>
      </c>
      <c r="M14" s="83" t="s">
        <v>17</v>
      </c>
      <c r="N14" s="83" t="s">
        <v>18</v>
      </c>
      <c r="O14" s="83" t="s">
        <v>19</v>
      </c>
      <c r="P14" s="83" t="s">
        <v>20</v>
      </c>
    </row>
    <row r="15" spans="2:16" ht="23.25" thickBot="1" x14ac:dyDescent="0.25">
      <c r="B15" s="11" t="s">
        <v>39</v>
      </c>
      <c r="C15" s="11" t="s">
        <v>32</v>
      </c>
      <c r="D15" s="11" t="s">
        <v>33</v>
      </c>
      <c r="E15" s="11" t="s">
        <v>79</v>
      </c>
      <c r="F15" s="11" t="s">
        <v>78</v>
      </c>
      <c r="H15" s="85" t="s">
        <v>38</v>
      </c>
      <c r="I15" s="85" t="s">
        <v>31</v>
      </c>
      <c r="J15" s="85" t="s">
        <v>21</v>
      </c>
      <c r="K15" s="85" t="s">
        <v>22</v>
      </c>
      <c r="L15" s="85" t="s">
        <v>23</v>
      </c>
      <c r="M15" s="85" t="s">
        <v>24</v>
      </c>
      <c r="N15" s="85" t="s">
        <v>43</v>
      </c>
      <c r="O15" s="85" t="s">
        <v>42</v>
      </c>
      <c r="P15" s="85" t="s">
        <v>25</v>
      </c>
    </row>
    <row r="16" spans="2:16" ht="13.5" thickBot="1" x14ac:dyDescent="0.25">
      <c r="B16" s="11" t="s">
        <v>77</v>
      </c>
      <c r="C16" s="10"/>
      <c r="D16" s="10"/>
      <c r="E16" s="10" t="str">
        <f>$F$2&amp;"/"&amp;$E$2</f>
        <v>M$2021/PJ</v>
      </c>
      <c r="F16" s="10" t="str">
        <f>$E$2</f>
        <v>PJ</v>
      </c>
      <c r="H16" s="85" t="s">
        <v>73</v>
      </c>
      <c r="I16" s="85"/>
      <c r="J16" s="85"/>
      <c r="K16" s="85"/>
      <c r="L16" s="85"/>
      <c r="M16" s="85"/>
      <c r="N16" s="85"/>
      <c r="O16" s="85"/>
      <c r="P16" s="85"/>
    </row>
    <row r="17" spans="2:22" x14ac:dyDescent="0.2">
      <c r="B17" s="1" t="str">
        <f t="shared" ref="B17:B30" si="2">J17</f>
        <v>IMPDSL1</v>
      </c>
      <c r="C17" s="1"/>
      <c r="D17" s="1" t="str">
        <f t="shared" ref="D17:D23" si="3">C2</f>
        <v>DSL</v>
      </c>
      <c r="E17" s="105">
        <v>22.5</v>
      </c>
      <c r="F17" s="40"/>
      <c r="H17" s="86" t="str">
        <f>'EB1'!$B$6</f>
        <v>IMP</v>
      </c>
      <c r="I17" s="86"/>
      <c r="J17" s="86" t="str">
        <f t="shared" ref="J17:J23" si="4">$H$17&amp;C2&amp;1</f>
        <v>IMPDSL1</v>
      </c>
      <c r="K17" s="88" t="str">
        <f t="shared" ref="K17:K23" si="5">"Import of "&amp;D2&amp; " Step "&amp;RIGHT(J17,1)</f>
        <v>Import of Diesel oil Step 1</v>
      </c>
      <c r="L17" s="86" t="str">
        <f t="shared" ref="L17:L30" si="6">$E$2</f>
        <v>PJ</v>
      </c>
      <c r="M17" s="86"/>
      <c r="N17" s="86"/>
      <c r="O17" s="86"/>
      <c r="P17" s="86"/>
    </row>
    <row r="18" spans="2:22" x14ac:dyDescent="0.2">
      <c r="B18" s="1" t="str">
        <f t="shared" si="2"/>
        <v>IMPKER1</v>
      </c>
      <c r="C18" s="1"/>
      <c r="D18" s="1" t="str">
        <f t="shared" si="3"/>
        <v>KER</v>
      </c>
      <c r="E18" s="105">
        <v>23.4</v>
      </c>
      <c r="F18" s="40"/>
      <c r="H18" s="86"/>
      <c r="I18" s="86"/>
      <c r="J18" s="86" t="str">
        <f t="shared" si="4"/>
        <v>IMPKER1</v>
      </c>
      <c r="K18" s="88" t="str">
        <f t="shared" si="5"/>
        <v>Import of Kerosenes Step 1</v>
      </c>
      <c r="L18" s="86" t="str">
        <f t="shared" si="6"/>
        <v>PJ</v>
      </c>
      <c r="M18" s="86"/>
      <c r="N18" s="86"/>
      <c r="O18" s="86"/>
      <c r="P18" s="86"/>
      <c r="T18" s="1"/>
    </row>
    <row r="19" spans="2:22" x14ac:dyDescent="0.2">
      <c r="B19" s="1" t="str">
        <f t="shared" si="2"/>
        <v>IMPLPG1</v>
      </c>
      <c r="C19" s="1"/>
      <c r="D19" s="1" t="str">
        <f t="shared" si="3"/>
        <v>LPG</v>
      </c>
      <c r="E19" s="105">
        <v>15.4</v>
      </c>
      <c r="F19" s="40"/>
      <c r="H19" s="86"/>
      <c r="I19" s="86"/>
      <c r="J19" s="86" t="str">
        <f t="shared" si="4"/>
        <v>IMPLPG1</v>
      </c>
      <c r="K19" s="88" t="str">
        <f t="shared" si="5"/>
        <v>Import of LPG Step 1</v>
      </c>
      <c r="L19" s="86" t="str">
        <f t="shared" si="6"/>
        <v>PJ</v>
      </c>
      <c r="M19" s="86"/>
      <c r="N19" s="86"/>
      <c r="O19" s="86"/>
      <c r="P19" s="86"/>
      <c r="U19" s="1"/>
      <c r="V19" s="1"/>
    </row>
    <row r="20" spans="2:22" x14ac:dyDescent="0.2">
      <c r="B20" s="1" t="str">
        <f t="shared" si="2"/>
        <v>IMPGSL1</v>
      </c>
      <c r="C20" s="1"/>
      <c r="D20" s="1" t="str">
        <f t="shared" si="3"/>
        <v>GSL</v>
      </c>
      <c r="E20" s="105">
        <v>20.8</v>
      </c>
      <c r="F20" s="40"/>
      <c r="H20" s="86"/>
      <c r="I20" s="86"/>
      <c r="J20" s="86" t="str">
        <f t="shared" si="4"/>
        <v>IMPGSL1</v>
      </c>
      <c r="K20" s="88" t="str">
        <f t="shared" si="5"/>
        <v>Import of Motor spirit Step 1</v>
      </c>
      <c r="L20" s="86" t="str">
        <f t="shared" si="6"/>
        <v>PJ</v>
      </c>
      <c r="M20" s="86"/>
      <c r="N20" s="86"/>
      <c r="O20" s="86"/>
      <c r="P20" s="86"/>
    </row>
    <row r="21" spans="2:22" x14ac:dyDescent="0.2">
      <c r="B21" s="1" t="str">
        <f t="shared" si="2"/>
        <v>IMPNAP1</v>
      </c>
      <c r="C21" s="1"/>
      <c r="D21" s="1" t="str">
        <f t="shared" si="3"/>
        <v>NAP</v>
      </c>
      <c r="E21" s="105">
        <v>12.6</v>
      </c>
      <c r="F21" s="40"/>
      <c r="H21" s="86"/>
      <c r="I21" s="86"/>
      <c r="J21" s="86" t="str">
        <f t="shared" si="4"/>
        <v>IMPNAP1</v>
      </c>
      <c r="K21" s="88" t="str">
        <f t="shared" si="5"/>
        <v>Import of Naphtha Step 1</v>
      </c>
      <c r="L21" s="86" t="str">
        <f t="shared" si="6"/>
        <v>PJ</v>
      </c>
      <c r="M21" s="86"/>
      <c r="N21" s="86"/>
      <c r="O21" s="86"/>
      <c r="P21" s="86"/>
    </row>
    <row r="22" spans="2:22" x14ac:dyDescent="0.2">
      <c r="B22" s="1" t="str">
        <f t="shared" si="2"/>
        <v>IMPHFO1</v>
      </c>
      <c r="C22" s="1"/>
      <c r="D22" s="1" t="str">
        <f t="shared" si="3"/>
        <v>HFO</v>
      </c>
      <c r="E22" s="105">
        <v>13.5</v>
      </c>
      <c r="F22" s="40"/>
      <c r="H22" s="86"/>
      <c r="I22" s="86"/>
      <c r="J22" s="86" t="str">
        <f t="shared" si="4"/>
        <v>IMPHFO1</v>
      </c>
      <c r="K22" s="88" t="str">
        <f t="shared" si="5"/>
        <v>Import of Heavy Fuel Oil Step 1</v>
      </c>
      <c r="L22" s="86" t="str">
        <f t="shared" si="6"/>
        <v>PJ</v>
      </c>
      <c r="M22" s="86"/>
      <c r="N22" s="86"/>
      <c r="O22" s="86"/>
      <c r="P22" s="86"/>
    </row>
    <row r="23" spans="2:22" x14ac:dyDescent="0.2">
      <c r="B23" s="1" t="str">
        <f t="shared" si="2"/>
        <v>IMPOPP1</v>
      </c>
      <c r="C23" s="1"/>
      <c r="D23" s="1" t="str">
        <f t="shared" si="3"/>
        <v>OPP</v>
      </c>
      <c r="E23" s="105">
        <v>14.5</v>
      </c>
      <c r="F23" s="40"/>
      <c r="H23" s="86"/>
      <c r="I23" s="86"/>
      <c r="J23" s="86" t="str">
        <f t="shared" si="4"/>
        <v>IMPOPP1</v>
      </c>
      <c r="K23" s="88" t="str">
        <f t="shared" si="5"/>
        <v>Import of Other Petroleum Products Step 1</v>
      </c>
      <c r="L23" s="86" t="str">
        <f t="shared" si="6"/>
        <v>PJ</v>
      </c>
      <c r="M23" s="86"/>
      <c r="N23" s="86"/>
      <c r="O23" s="86"/>
      <c r="P23" s="86"/>
    </row>
    <row r="24" spans="2:22" x14ac:dyDescent="0.2">
      <c r="B24" s="1" t="str">
        <f t="shared" si="2"/>
        <v>EXPDSL1</v>
      </c>
      <c r="C24" s="1" t="str">
        <f t="shared" ref="C24:C30" si="7">C2</f>
        <v>DSL</v>
      </c>
      <c r="D24" s="1"/>
      <c r="E24" s="105"/>
      <c r="F24" s="40">
        <f>-'EB1'!G$7</f>
        <v>0</v>
      </c>
      <c r="H24" s="86" t="str">
        <f>'EB1'!B7</f>
        <v>EXP</v>
      </c>
      <c r="I24" s="86"/>
      <c r="J24" s="86" t="str">
        <f t="shared" ref="J24:J30" si="8">$H$24&amp;C2&amp;1</f>
        <v>EXPDSL1</v>
      </c>
      <c r="K24" s="88" t="str">
        <f t="shared" ref="K24:K30" si="9">"Export of "&amp;D2&amp; " Step "&amp;RIGHT(J24,1)</f>
        <v>Export of Diesel oil Step 1</v>
      </c>
      <c r="L24" s="86" t="str">
        <f t="shared" si="6"/>
        <v>PJ</v>
      </c>
      <c r="M24" s="86"/>
      <c r="N24" s="86"/>
      <c r="O24" s="86"/>
      <c r="P24" s="86"/>
      <c r="S24" s="1"/>
    </row>
    <row r="25" spans="2:22" x14ac:dyDescent="0.2">
      <c r="B25" s="1" t="str">
        <f t="shared" si="2"/>
        <v>EXPKER1</v>
      </c>
      <c r="C25" s="1" t="str">
        <f t="shared" si="7"/>
        <v>KER</v>
      </c>
      <c r="D25" s="1"/>
      <c r="E25" s="105"/>
      <c r="F25" s="40">
        <f>-'EB1'!H$7</f>
        <v>0</v>
      </c>
      <c r="H25" s="86"/>
      <c r="I25" s="86"/>
      <c r="J25" s="86" t="str">
        <f t="shared" si="8"/>
        <v>EXPKER1</v>
      </c>
      <c r="K25" s="88" t="str">
        <f t="shared" si="9"/>
        <v>Export of Kerosenes Step 1</v>
      </c>
      <c r="L25" s="86" t="str">
        <f t="shared" si="6"/>
        <v>PJ</v>
      </c>
      <c r="M25" s="86"/>
      <c r="N25" s="86"/>
      <c r="O25" s="86"/>
      <c r="P25" s="86"/>
      <c r="R25" s="1"/>
    </row>
    <row r="26" spans="2:22" x14ac:dyDescent="0.2">
      <c r="B26" s="1" t="str">
        <f t="shared" si="2"/>
        <v>EXPLPG1</v>
      </c>
      <c r="C26" s="1" t="str">
        <f t="shared" si="7"/>
        <v>LPG</v>
      </c>
      <c r="D26" s="1"/>
      <c r="E26" s="105"/>
      <c r="F26" s="40">
        <f>-'EB1'!I$7</f>
        <v>0</v>
      </c>
      <c r="H26" s="86"/>
      <c r="I26" s="86"/>
      <c r="J26" s="86" t="str">
        <f t="shared" si="8"/>
        <v>EXPLPG1</v>
      </c>
      <c r="K26" s="88" t="str">
        <f t="shared" si="9"/>
        <v>Export of LPG Step 1</v>
      </c>
      <c r="L26" s="86" t="str">
        <f t="shared" si="6"/>
        <v>PJ</v>
      </c>
      <c r="M26" s="86"/>
      <c r="N26" s="86"/>
      <c r="O26" s="86"/>
      <c r="P26" s="86"/>
    </row>
    <row r="27" spans="2:22" x14ac:dyDescent="0.2">
      <c r="B27" s="1" t="str">
        <f t="shared" si="2"/>
        <v>EXPGSL1</v>
      </c>
      <c r="C27" s="1" t="str">
        <f t="shared" si="7"/>
        <v>GSL</v>
      </c>
      <c r="D27" s="1"/>
      <c r="E27" s="105"/>
      <c r="F27" s="40">
        <f>-'EB1'!J$7</f>
        <v>0</v>
      </c>
      <c r="H27" s="86"/>
      <c r="I27" s="86"/>
      <c r="J27" s="86" t="str">
        <f t="shared" si="8"/>
        <v>EXPGSL1</v>
      </c>
      <c r="K27" s="88" t="str">
        <f t="shared" si="9"/>
        <v>Export of Motor spirit Step 1</v>
      </c>
      <c r="L27" s="86" t="str">
        <f t="shared" si="6"/>
        <v>PJ</v>
      </c>
      <c r="M27" s="86"/>
      <c r="N27" s="86"/>
      <c r="O27" s="86"/>
      <c r="P27" s="86"/>
    </row>
    <row r="28" spans="2:22" x14ac:dyDescent="0.2">
      <c r="B28" s="1" t="str">
        <f t="shared" si="2"/>
        <v>EXPNAP1</v>
      </c>
      <c r="C28" s="1" t="str">
        <f t="shared" si="7"/>
        <v>NAP</v>
      </c>
      <c r="D28" s="1"/>
      <c r="E28" s="105"/>
      <c r="F28" s="40">
        <f>-'EB1'!K$7</f>
        <v>0</v>
      </c>
      <c r="H28" s="86"/>
      <c r="I28" s="86"/>
      <c r="J28" s="86" t="str">
        <f t="shared" si="8"/>
        <v>EXPNAP1</v>
      </c>
      <c r="K28" s="88" t="str">
        <f t="shared" si="9"/>
        <v>Export of Naphtha Step 1</v>
      </c>
      <c r="L28" s="86" t="str">
        <f t="shared" si="6"/>
        <v>PJ</v>
      </c>
      <c r="M28" s="86"/>
      <c r="N28" s="86"/>
      <c r="O28" s="86"/>
      <c r="P28" s="86"/>
    </row>
    <row r="29" spans="2:22" x14ac:dyDescent="0.2">
      <c r="B29" s="1" t="str">
        <f t="shared" si="2"/>
        <v>EXPHFO1</v>
      </c>
      <c r="C29" s="1" t="str">
        <f t="shared" si="7"/>
        <v>HFO</v>
      </c>
      <c r="D29" s="1"/>
      <c r="E29" s="105"/>
      <c r="F29" s="40">
        <f>-'EB1'!L$7</f>
        <v>0</v>
      </c>
      <c r="H29" s="86"/>
      <c r="I29" s="86"/>
      <c r="J29" s="86" t="str">
        <f t="shared" si="8"/>
        <v>EXPHFO1</v>
      </c>
      <c r="K29" s="88" t="str">
        <f t="shared" si="9"/>
        <v>Export of Heavy Fuel Oil Step 1</v>
      </c>
      <c r="L29" s="86" t="str">
        <f t="shared" si="6"/>
        <v>PJ</v>
      </c>
      <c r="M29" s="86"/>
      <c r="N29" s="86"/>
      <c r="O29" s="86"/>
      <c r="P29" s="86"/>
    </row>
    <row r="30" spans="2:22" x14ac:dyDescent="0.2">
      <c r="B30" s="1" t="str">
        <f t="shared" si="2"/>
        <v>EXPOPP1</v>
      </c>
      <c r="C30" s="1" t="str">
        <f t="shared" si="7"/>
        <v>OPP</v>
      </c>
      <c r="D30" s="1"/>
      <c r="E30" s="105"/>
      <c r="F30" s="40">
        <f>-'EB1'!M$7</f>
        <v>0</v>
      </c>
      <c r="H30" s="86"/>
      <c r="I30" s="86"/>
      <c r="J30" s="86" t="str">
        <f t="shared" si="8"/>
        <v>EXPOPP1</v>
      </c>
      <c r="K30" s="88" t="str">
        <f t="shared" si="9"/>
        <v>Export of Other Petroleum Products Step 1</v>
      </c>
      <c r="L30" s="86" t="str">
        <f t="shared" si="6"/>
        <v>PJ</v>
      </c>
      <c r="M30" s="86"/>
      <c r="N30" s="86"/>
      <c r="O30" s="86"/>
      <c r="P30" s="86"/>
    </row>
    <row r="35" spans="2:3" x14ac:dyDescent="0.2">
      <c r="B35" s="36"/>
      <c r="C35" s="1" t="s">
        <v>114</v>
      </c>
    </row>
    <row r="36" spans="2:3" x14ac:dyDescent="0.2">
      <c r="B36" s="42"/>
      <c r="C36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24"/>
  <sheetViews>
    <sheetView tabSelected="1" topLeftCell="B1" zoomScaleNormal="100" workbookViewId="0">
      <selection activeCell="L15" sqref="L15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85546875" bestFit="1" customWidth="1"/>
    <col min="4" max="4" width="27.42578125" bestFit="1" customWidth="1"/>
    <col min="5" max="5" width="8.42578125" bestFit="1" customWidth="1"/>
    <col min="6" max="6" width="13.7109375" customWidth="1"/>
    <col min="7" max="7" width="2" bestFit="1" customWidth="1"/>
    <col min="8" max="8" width="11.85546875" bestFit="1" customWidth="1"/>
    <col min="9" max="9" width="7.140625" customWidth="1"/>
    <col min="10" max="10" width="11.42578125" bestFit="1" customWidth="1"/>
    <col min="11" max="11" width="37.42578125" bestFit="1" customWidth="1"/>
    <col min="12" max="12" width="6.140625" bestFit="1" customWidth="1"/>
    <col min="13" max="13" width="11" customWidth="1"/>
    <col min="14" max="14" width="12.85546875" bestFit="1" customWidth="1"/>
    <col min="15" max="15" width="14.140625" bestFit="1" customWidth="1"/>
    <col min="16" max="16" width="8" bestFit="1" customWidth="1"/>
  </cols>
  <sheetData>
    <row r="1" spans="2:16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75" x14ac:dyDescent="0.25">
      <c r="B2" s="8" t="s">
        <v>112</v>
      </c>
      <c r="C2" s="8" t="str">
        <f>'EB1'!U$2</f>
        <v>ELC</v>
      </c>
      <c r="D2" s="8" t="str">
        <f>'EB1'!U$3</f>
        <v>Electricity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75" x14ac:dyDescent="0.25">
      <c r="C3" s="7"/>
      <c r="D3" s="7"/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4" thickBot="1" x14ac:dyDescent="0.3">
      <c r="C4" s="7"/>
      <c r="D4" s="7"/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75" x14ac:dyDescent="0.25">
      <c r="C5" s="7"/>
      <c r="D5" s="7"/>
      <c r="H5" s="1"/>
      <c r="J5" s="1"/>
      <c r="K5" s="1"/>
      <c r="L5" s="1"/>
      <c r="M5" s="1"/>
      <c r="N5" s="1"/>
      <c r="O5" s="1"/>
      <c r="P5" s="1"/>
    </row>
    <row r="6" spans="2:16" ht="15.75" x14ac:dyDescent="0.25">
      <c r="C6" s="7"/>
      <c r="D6" s="7"/>
      <c r="H6" s="1"/>
      <c r="J6" s="1"/>
      <c r="K6" s="1"/>
      <c r="L6" s="1"/>
      <c r="M6" s="1"/>
      <c r="N6" s="1"/>
      <c r="O6" s="1"/>
      <c r="P6" s="1"/>
    </row>
    <row r="11" spans="2:16" x14ac:dyDescent="0.2">
      <c r="D11" s="4" t="s">
        <v>13</v>
      </c>
      <c r="E11" s="4"/>
      <c r="H11" s="81" t="s">
        <v>15</v>
      </c>
      <c r="I11" s="81"/>
      <c r="J11" s="86"/>
      <c r="K11" s="86"/>
      <c r="L11" s="86"/>
      <c r="M11" s="86"/>
      <c r="N11" s="86"/>
      <c r="O11" s="86"/>
      <c r="P11" s="86"/>
    </row>
    <row r="12" spans="2:16" x14ac:dyDescent="0.2">
      <c r="B12" s="3" t="s">
        <v>1</v>
      </c>
      <c r="C12" s="14" t="s">
        <v>5</v>
      </c>
      <c r="D12" s="3" t="s">
        <v>6</v>
      </c>
      <c r="E12" s="51" t="s">
        <v>35</v>
      </c>
      <c r="F12" s="51" t="s">
        <v>72</v>
      </c>
      <c r="H12" s="83" t="s">
        <v>11</v>
      </c>
      <c r="I12" s="84" t="s">
        <v>30</v>
      </c>
      <c r="J12" s="83" t="s">
        <v>1</v>
      </c>
      <c r="K12" s="83" t="s">
        <v>2</v>
      </c>
      <c r="L12" s="83" t="s">
        <v>16</v>
      </c>
      <c r="M12" s="83" t="s">
        <v>17</v>
      </c>
      <c r="N12" s="83" t="s">
        <v>18</v>
      </c>
      <c r="O12" s="83" t="s">
        <v>19</v>
      </c>
      <c r="P12" s="83" t="s">
        <v>20</v>
      </c>
    </row>
    <row r="13" spans="2:16" ht="23.25" thickBot="1" x14ac:dyDescent="0.25">
      <c r="B13" s="11" t="s">
        <v>39</v>
      </c>
      <c r="C13" s="11" t="s">
        <v>32</v>
      </c>
      <c r="D13" s="11" t="s">
        <v>33</v>
      </c>
      <c r="E13" s="11" t="s">
        <v>79</v>
      </c>
      <c r="F13" s="11" t="s">
        <v>78</v>
      </c>
      <c r="H13" s="85" t="s">
        <v>38</v>
      </c>
      <c r="I13" s="85" t="s">
        <v>31</v>
      </c>
      <c r="J13" s="85" t="s">
        <v>21</v>
      </c>
      <c r="K13" s="85" t="s">
        <v>22</v>
      </c>
      <c r="L13" s="85" t="s">
        <v>23</v>
      </c>
      <c r="M13" s="85" t="s">
        <v>24</v>
      </c>
      <c r="N13" s="85" t="s">
        <v>43</v>
      </c>
      <c r="O13" s="85" t="s">
        <v>42</v>
      </c>
      <c r="P13" s="85" t="s">
        <v>25</v>
      </c>
    </row>
    <row r="14" spans="2:16" ht="13.5" thickBot="1" x14ac:dyDescent="0.25">
      <c r="B14" s="11" t="s">
        <v>77</v>
      </c>
      <c r="C14" s="10"/>
      <c r="D14" s="10"/>
      <c r="E14" s="10" t="str">
        <f>$F$2&amp;"/"&amp;$E$2</f>
        <v>M$2021/PJ</v>
      </c>
      <c r="F14" s="10" t="str">
        <f>$E$2</f>
        <v>PJ</v>
      </c>
      <c r="H14" s="85" t="s">
        <v>73</v>
      </c>
      <c r="I14" s="85"/>
      <c r="J14" s="85"/>
      <c r="K14" s="85"/>
      <c r="L14" s="85"/>
      <c r="M14" s="85"/>
      <c r="N14" s="85"/>
      <c r="O14" s="85"/>
      <c r="P14" s="85"/>
    </row>
    <row r="15" spans="2:16" x14ac:dyDescent="0.2">
      <c r="B15" s="82" t="str">
        <f>J15</f>
        <v>IMPELCVN</v>
      </c>
      <c r="C15" s="1"/>
      <c r="D15" s="1" t="str">
        <f>C$2</f>
        <v>ELC</v>
      </c>
      <c r="E15" s="45">
        <v>35.75</v>
      </c>
      <c r="F15" s="102">
        <v>8.91</v>
      </c>
      <c r="H15" s="86" t="str">
        <f>'EB1'!$B$6</f>
        <v>IMP</v>
      </c>
      <c r="I15" s="86"/>
      <c r="J15" s="86" t="str">
        <f>$H$15&amp;C$2&amp;"VN"</f>
        <v>IMPELCVN</v>
      </c>
      <c r="K15" s="88" t="str">
        <f>"Import of "&amp;D$2&amp; " Step "&amp;RIGHT(J15,2)</f>
        <v>Import of Electricity Step VN</v>
      </c>
      <c r="L15" s="86" t="str">
        <f>$E$2</f>
        <v>PJ</v>
      </c>
      <c r="M15" s="86"/>
      <c r="N15" s="82" t="s">
        <v>92</v>
      </c>
      <c r="O15" s="86"/>
      <c r="P15" s="86"/>
    </row>
    <row r="16" spans="2:16" x14ac:dyDescent="0.2">
      <c r="B16" s="1" t="str">
        <f t="shared" ref="B16:B17" si="0">J16</f>
        <v>IMPELCTH</v>
      </c>
      <c r="C16" s="1"/>
      <c r="D16" s="1" t="str">
        <f t="shared" ref="D16:D17" si="1">C$2</f>
        <v>ELC</v>
      </c>
      <c r="E16" s="45">
        <v>31.83</v>
      </c>
      <c r="F16" s="102">
        <v>7.4316400000000007</v>
      </c>
      <c r="H16" s="86" t="str">
        <f>'EB1'!$B$6</f>
        <v>IMP</v>
      </c>
      <c r="I16" s="86"/>
      <c r="J16" s="86" t="str">
        <f>$H$15&amp;C$2&amp;"TH"</f>
        <v>IMPELCTH</v>
      </c>
      <c r="K16" s="88" t="str">
        <f>"Import of "&amp;D$2&amp; " Step "&amp;RIGHT(J16,2)</f>
        <v>Import of Electricity Step TH</v>
      </c>
      <c r="L16" s="86" t="str">
        <f t="shared" ref="L16:L17" si="2">$E$2</f>
        <v>PJ</v>
      </c>
      <c r="M16" s="86"/>
      <c r="N16" s="82" t="s">
        <v>92</v>
      </c>
      <c r="O16" s="86"/>
      <c r="P16" s="86"/>
    </row>
    <row r="17" spans="2:19" x14ac:dyDescent="0.2">
      <c r="B17" s="1" t="str">
        <f t="shared" si="0"/>
        <v>IMPELCLAO</v>
      </c>
      <c r="C17" s="1"/>
      <c r="D17" s="1" t="str">
        <f t="shared" si="1"/>
        <v>ELC</v>
      </c>
      <c r="E17" s="45">
        <v>22.5</v>
      </c>
      <c r="F17" s="102">
        <v>9.9428000000000001</v>
      </c>
      <c r="H17" s="86" t="str">
        <f>'EB1'!$B$6</f>
        <v>IMP</v>
      </c>
      <c r="I17" s="86"/>
      <c r="J17" s="86" t="str">
        <f>$H$15&amp;C$2&amp;"LAO"</f>
        <v>IMPELCLAO</v>
      </c>
      <c r="K17" s="88" t="str">
        <f>"Import of "&amp;D$2&amp; " Step "&amp;RIGHT(J17,3)</f>
        <v>Import of Electricity Step LAO</v>
      </c>
      <c r="L17" s="86" t="str">
        <f t="shared" si="2"/>
        <v>PJ</v>
      </c>
      <c r="M17" s="86"/>
      <c r="N17" s="82" t="s">
        <v>92</v>
      </c>
      <c r="O17" s="86"/>
      <c r="P17" s="86"/>
    </row>
    <row r="18" spans="2:19" x14ac:dyDescent="0.2">
      <c r="B18" s="1" t="str">
        <f>J18</f>
        <v>EXPELC1</v>
      </c>
      <c r="C18" s="1" t="str">
        <f>C2</f>
        <v>ELC</v>
      </c>
      <c r="D18" s="1"/>
      <c r="E18" s="45"/>
      <c r="F18" s="102">
        <f>-'EB1'!U$7</f>
        <v>0</v>
      </c>
      <c r="H18" s="86" t="str">
        <f>'EB1'!B7</f>
        <v>EXP</v>
      </c>
      <c r="I18" s="86"/>
      <c r="J18" s="86" t="str">
        <f>$H$18&amp;C2&amp;1</f>
        <v>EXPELC1</v>
      </c>
      <c r="K18" s="88" t="str">
        <f>"Export of "&amp;D2&amp; " Step "&amp;RIGHT(J18,1)</f>
        <v>Export of Electricity Step 1</v>
      </c>
      <c r="L18" s="86" t="str">
        <f>$E$2</f>
        <v>PJ</v>
      </c>
      <c r="M18" s="86"/>
      <c r="N18" s="82" t="s">
        <v>92</v>
      </c>
      <c r="O18" s="86"/>
      <c r="P18" s="86"/>
      <c r="S18" s="1"/>
    </row>
    <row r="23" spans="2:19" x14ac:dyDescent="0.2">
      <c r="B23" s="36"/>
      <c r="C23" s="1" t="s">
        <v>114</v>
      </c>
    </row>
    <row r="24" spans="2:19" x14ac:dyDescent="0.2">
      <c r="B24" s="42"/>
      <c r="C24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24"/>
  <sheetViews>
    <sheetView zoomScaleNormal="100" workbookViewId="0">
      <selection activeCell="H16" sqref="H16"/>
    </sheetView>
  </sheetViews>
  <sheetFormatPr defaultColWidth="8.85546875" defaultRowHeight="12.75" x14ac:dyDescent="0.2"/>
  <cols>
    <col min="1" max="1" width="3" style="26" customWidth="1"/>
    <col min="2" max="2" width="14" style="26" bestFit="1" customWidth="1"/>
    <col min="3" max="3" width="12.7109375" style="26" customWidth="1"/>
    <col min="4" max="4" width="11.28515625" style="26" customWidth="1"/>
    <col min="5" max="5" width="12.5703125" style="26" customWidth="1"/>
    <col min="6" max="6" width="13.85546875" style="26" customWidth="1"/>
    <col min="7" max="7" width="13.140625" style="26" bestFit="1" customWidth="1"/>
    <col min="8" max="8" width="7.85546875" style="26" bestFit="1" customWidth="1"/>
    <col min="9" max="9" width="2" style="26" bestFit="1" customWidth="1"/>
    <col min="10" max="10" width="11.85546875" customWidth="1"/>
    <col min="11" max="11" width="7.5703125" customWidth="1"/>
    <col min="12" max="12" width="13.5703125" bestFit="1" customWidth="1"/>
    <col min="13" max="13" width="20.85546875" bestFit="1" customWidth="1"/>
    <col min="14" max="14" width="6.140625" customWidth="1"/>
    <col min="15" max="15" width="10.85546875" customWidth="1"/>
    <col min="16" max="16" width="13.5703125" customWidth="1"/>
    <col min="17" max="17" width="13.7109375" customWidth="1"/>
    <col min="18" max="18" width="7.5703125" bestFit="1" customWidth="1"/>
    <col min="19" max="16384" width="8.85546875" style="26"/>
  </cols>
  <sheetData>
    <row r="1" spans="2:18" ht="15" x14ac:dyDescent="0.25">
      <c r="B1" s="23" t="s">
        <v>66</v>
      </c>
      <c r="C1" s="6" t="s">
        <v>68</v>
      </c>
      <c r="D1" s="6" t="s">
        <v>88</v>
      </c>
      <c r="E1" s="23" t="s">
        <v>23</v>
      </c>
      <c r="F1" s="23" t="s">
        <v>91</v>
      </c>
      <c r="G1" s="23" t="s">
        <v>71</v>
      </c>
      <c r="H1" s="23" t="s">
        <v>83</v>
      </c>
    </row>
    <row r="2" spans="2:18" ht="15.75" x14ac:dyDescent="0.25">
      <c r="B2" s="8" t="s">
        <v>64</v>
      </c>
      <c r="C2" s="8" t="s">
        <v>105</v>
      </c>
      <c r="D2" s="15" t="s">
        <v>105</v>
      </c>
      <c r="E2" s="8" t="str">
        <f>'EB1'!Z2</f>
        <v>PJ</v>
      </c>
      <c r="F2" s="8" t="s">
        <v>106</v>
      </c>
      <c r="G2" s="8" t="str">
        <f>'EB1'!Y2</f>
        <v>M$2021</v>
      </c>
      <c r="H2" s="8" t="s">
        <v>84</v>
      </c>
      <c r="J2" s="81" t="s">
        <v>14</v>
      </c>
      <c r="K2" s="81"/>
      <c r="L2" s="82"/>
      <c r="M2" s="82"/>
      <c r="N2" s="82"/>
      <c r="O2" s="82"/>
      <c r="P2" s="82"/>
      <c r="Q2" s="82"/>
      <c r="R2" s="82"/>
    </row>
    <row r="3" spans="2:18" x14ac:dyDescent="0.2">
      <c r="J3" s="83" t="s">
        <v>7</v>
      </c>
      <c r="K3" s="84" t="s">
        <v>30</v>
      </c>
      <c r="L3" s="83" t="s">
        <v>0</v>
      </c>
      <c r="M3" s="83" t="s">
        <v>3</v>
      </c>
      <c r="N3" s="83" t="s">
        <v>4</v>
      </c>
      <c r="O3" s="83" t="s">
        <v>8</v>
      </c>
      <c r="P3" s="83" t="s">
        <v>9</v>
      </c>
      <c r="Q3" s="83" t="s">
        <v>10</v>
      </c>
      <c r="R3" s="83" t="s">
        <v>12</v>
      </c>
    </row>
    <row r="4" spans="2:18" ht="24" thickBot="1" x14ac:dyDescent="0.3">
      <c r="B4" s="30"/>
      <c r="C4" s="31"/>
      <c r="D4" s="31"/>
      <c r="E4" s="31"/>
      <c r="H4" s="72"/>
      <c r="J4" s="85" t="s">
        <v>37</v>
      </c>
      <c r="K4" s="85" t="s">
        <v>31</v>
      </c>
      <c r="L4" s="85" t="s">
        <v>26</v>
      </c>
      <c r="M4" s="85" t="s">
        <v>27</v>
      </c>
      <c r="N4" s="85" t="s">
        <v>4</v>
      </c>
      <c r="O4" s="85" t="s">
        <v>40</v>
      </c>
      <c r="P4" s="85" t="s">
        <v>41</v>
      </c>
      <c r="Q4" s="85" t="s">
        <v>28</v>
      </c>
      <c r="R4" s="85" t="s">
        <v>29</v>
      </c>
    </row>
    <row r="5" spans="2:18" ht="15.75" x14ac:dyDescent="0.25">
      <c r="B5" s="29"/>
      <c r="C5" s="7"/>
      <c r="D5" s="7"/>
      <c r="E5" s="7"/>
      <c r="H5" s="7"/>
    </row>
    <row r="7" spans="2:18" x14ac:dyDescent="0.2">
      <c r="J7" s="2"/>
      <c r="K7" s="2"/>
    </row>
    <row r="8" spans="2:18" ht="15" x14ac:dyDescent="0.25">
      <c r="D8" s="4" t="s">
        <v>13</v>
      </c>
      <c r="E8" s="4"/>
      <c r="F8" s="4"/>
      <c r="G8" s="71"/>
      <c r="H8" s="71"/>
      <c r="J8" s="81" t="s">
        <v>15</v>
      </c>
      <c r="K8" s="81"/>
      <c r="L8" s="82"/>
      <c r="M8" s="82"/>
      <c r="N8" s="82"/>
      <c r="O8" s="82"/>
      <c r="P8" s="82"/>
      <c r="Q8" s="82"/>
      <c r="R8" s="82"/>
    </row>
    <row r="9" spans="2:18" ht="25.15" customHeight="1" x14ac:dyDescent="0.2">
      <c r="B9" s="13" t="s">
        <v>1</v>
      </c>
      <c r="C9" s="13" t="s">
        <v>5</v>
      </c>
      <c r="D9" s="13" t="s">
        <v>6</v>
      </c>
      <c r="E9" s="50" t="s">
        <v>109</v>
      </c>
      <c r="F9" s="50" t="s">
        <v>74</v>
      </c>
      <c r="G9" s="50" t="s">
        <v>72</v>
      </c>
      <c r="H9" s="73"/>
      <c r="I9" s="27"/>
      <c r="J9" s="83" t="s">
        <v>11</v>
      </c>
      <c r="K9" s="84" t="s">
        <v>30</v>
      </c>
      <c r="L9" s="83" t="s">
        <v>1</v>
      </c>
      <c r="M9" s="83" t="s">
        <v>2</v>
      </c>
      <c r="N9" s="83" t="s">
        <v>16</v>
      </c>
      <c r="O9" s="83" t="s">
        <v>17</v>
      </c>
      <c r="P9" s="83" t="s">
        <v>18</v>
      </c>
      <c r="Q9" s="83" t="s">
        <v>19</v>
      </c>
      <c r="R9" s="83" t="s">
        <v>20</v>
      </c>
    </row>
    <row r="10" spans="2:18" ht="23.25" thickBot="1" x14ac:dyDescent="0.25">
      <c r="B10" s="12" t="s">
        <v>39</v>
      </c>
      <c r="C10" s="12" t="s">
        <v>32</v>
      </c>
      <c r="D10" s="12" t="s">
        <v>33</v>
      </c>
      <c r="E10" s="12" t="s">
        <v>108</v>
      </c>
      <c r="F10" s="12" t="s">
        <v>76</v>
      </c>
      <c r="G10" s="12" t="s">
        <v>107</v>
      </c>
      <c r="H10" s="74"/>
      <c r="J10" s="85" t="s">
        <v>38</v>
      </c>
      <c r="K10" s="85" t="s">
        <v>31</v>
      </c>
      <c r="L10" s="85" t="s">
        <v>21</v>
      </c>
      <c r="M10" s="85" t="s">
        <v>22</v>
      </c>
      <c r="N10" s="85" t="s">
        <v>23</v>
      </c>
      <c r="O10" s="85" t="s">
        <v>24</v>
      </c>
      <c r="P10" s="85" t="s">
        <v>43</v>
      </c>
      <c r="Q10" s="85" t="s">
        <v>42</v>
      </c>
      <c r="R10" s="85" t="s">
        <v>25</v>
      </c>
    </row>
    <row r="11" spans="2:18" ht="13.5" thickBot="1" x14ac:dyDescent="0.25">
      <c r="B11" s="11" t="s">
        <v>77</v>
      </c>
      <c r="C11" s="11"/>
      <c r="D11" s="11"/>
      <c r="E11" s="10" t="str">
        <f>$F$2</f>
        <v>Pja</v>
      </c>
      <c r="F11" s="10"/>
      <c r="G11" s="10"/>
      <c r="H11" s="75"/>
      <c r="J11" s="85" t="s">
        <v>73</v>
      </c>
      <c r="K11" s="85"/>
      <c r="L11" s="85"/>
      <c r="M11" s="85"/>
      <c r="N11" s="85"/>
      <c r="O11" s="85"/>
      <c r="P11" s="85"/>
      <c r="Q11" s="85"/>
      <c r="R11" s="85"/>
    </row>
    <row r="12" spans="2:18" x14ac:dyDescent="0.2">
      <c r="B12" s="26" t="str">
        <f>L12</f>
        <v>REFEOIL00</v>
      </c>
      <c r="C12" s="26" t="str">
        <f>'EB1'!F2</f>
        <v>OIL</v>
      </c>
      <c r="D12" s="26" t="str">
        <f>'EB1'!G2</f>
        <v>DSL</v>
      </c>
      <c r="E12" s="70"/>
      <c r="F12" s="43"/>
      <c r="G12" s="41">
        <f>SUM('EB1'!G13:M13)</f>
        <v>0</v>
      </c>
      <c r="H12" s="5"/>
      <c r="J12" s="82" t="s">
        <v>87</v>
      </c>
      <c r="K12" s="86"/>
      <c r="L12" s="86" t="str">
        <f>$B$2&amp;$H$2&amp;'EB1'!F2&amp;"00"</f>
        <v>REFEOIL00</v>
      </c>
      <c r="M12" s="88" t="str">
        <f>$D$2&amp;" "&amp;$H$1&amp;RIGHT(L12,2)</f>
        <v>Refinery Existing00</v>
      </c>
      <c r="N12" s="86" t="str">
        <f>$E$2</f>
        <v>PJ</v>
      </c>
      <c r="O12" s="86" t="str">
        <f>$F$2</f>
        <v>Pja</v>
      </c>
      <c r="P12" s="82"/>
      <c r="Q12" s="82" t="s">
        <v>110</v>
      </c>
      <c r="R12" s="86"/>
    </row>
    <row r="13" spans="2:18" x14ac:dyDescent="0.2">
      <c r="D13" s="26" t="str">
        <f>'EB1'!H2</f>
        <v>KER</v>
      </c>
      <c r="E13" s="70"/>
      <c r="F13" s="28"/>
      <c r="M13" s="16"/>
    </row>
    <row r="14" spans="2:18" x14ac:dyDescent="0.2">
      <c r="D14" s="26" t="str">
        <f>'EB1'!I2</f>
        <v>LPG</v>
      </c>
      <c r="E14" s="70"/>
      <c r="F14" s="28"/>
      <c r="M14" s="16"/>
    </row>
    <row r="15" spans="2:18" x14ac:dyDescent="0.2">
      <c r="D15" s="26" t="str">
        <f>'EB1'!J2</f>
        <v>GSL</v>
      </c>
      <c r="E15" s="70"/>
      <c r="F15" s="28"/>
      <c r="M15" s="16"/>
    </row>
    <row r="16" spans="2:18" x14ac:dyDescent="0.2">
      <c r="D16" s="26" t="str">
        <f>'EB1'!K2</f>
        <v>NAP</v>
      </c>
      <c r="E16" s="70"/>
      <c r="F16" s="28"/>
      <c r="M16" s="16"/>
      <c r="P16" s="1"/>
    </row>
    <row r="17" spans="2:16" x14ac:dyDescent="0.2">
      <c r="D17" s="26" t="str">
        <f>'EB1'!L2</f>
        <v>HFO</v>
      </c>
      <c r="E17" s="70"/>
      <c r="F17" s="28"/>
      <c r="P17" s="1"/>
    </row>
    <row r="18" spans="2:16" x14ac:dyDescent="0.2">
      <c r="D18" s="26" t="str">
        <f>'EB1'!M2</f>
        <v>OPP</v>
      </c>
      <c r="E18" s="70"/>
      <c r="F18" s="28"/>
      <c r="G18" s="32"/>
      <c r="H18" s="32"/>
    </row>
    <row r="19" spans="2:16" x14ac:dyDescent="0.2">
      <c r="E19" s="32"/>
    </row>
    <row r="20" spans="2:16" x14ac:dyDescent="0.2">
      <c r="E20" s="33"/>
    </row>
    <row r="23" spans="2:16" x14ac:dyDescent="0.2">
      <c r="B23" s="36"/>
      <c r="C23" s="1" t="s">
        <v>114</v>
      </c>
    </row>
    <row r="24" spans="2:16" x14ac:dyDescent="0.2">
      <c r="B24" s="42"/>
      <c r="C24" s="1" t="s">
        <v>115</v>
      </c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S12"/>
  <sheetViews>
    <sheetView topLeftCell="A4" zoomScale="120" zoomScaleNormal="120" workbookViewId="0">
      <selection activeCell="K18" sqref="K18"/>
    </sheetView>
  </sheetViews>
  <sheetFormatPr defaultRowHeight="12.75" x14ac:dyDescent="0.2"/>
  <cols>
    <col min="2" max="2" width="11.7109375" bestFit="1" customWidth="1"/>
    <col min="11" max="11" width="13.85546875" customWidth="1"/>
    <col min="13" max="13" width="12.28515625" bestFit="1" customWidth="1"/>
    <col min="14" max="14" width="11.7109375" bestFit="1" customWidth="1"/>
    <col min="16" max="16" width="12" customWidth="1"/>
  </cols>
  <sheetData>
    <row r="4" spans="2:19" x14ac:dyDescent="0.2">
      <c r="B4" s="77" t="s">
        <v>141</v>
      </c>
      <c r="C4" s="26"/>
      <c r="D4" s="26"/>
      <c r="E4" s="26"/>
      <c r="F4" s="26"/>
      <c r="G4" s="26"/>
      <c r="H4" s="26"/>
    </row>
    <row r="5" spans="2:19" ht="13.5" thickBot="1" x14ac:dyDescent="0.25">
      <c r="B5" s="76" t="s">
        <v>0</v>
      </c>
      <c r="C5" s="80" t="s">
        <v>142</v>
      </c>
      <c r="D5" s="80" t="s">
        <v>143</v>
      </c>
      <c r="E5" s="80" t="s">
        <v>144</v>
      </c>
      <c r="F5" s="80" t="s">
        <v>145</v>
      </c>
      <c r="G5" s="80" t="s">
        <v>146</v>
      </c>
      <c r="H5" s="80" t="s">
        <v>147</v>
      </c>
    </row>
    <row r="6" spans="2:19" x14ac:dyDescent="0.2">
      <c r="B6" s="78" t="s">
        <v>148</v>
      </c>
      <c r="C6" s="79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2:19" x14ac:dyDescent="0.2">
      <c r="K7" s="1"/>
      <c r="M7" s="1"/>
      <c r="N7" s="1"/>
      <c r="O7" s="1"/>
      <c r="P7" s="1"/>
      <c r="Q7" s="1"/>
      <c r="R7" s="1"/>
      <c r="S7" s="1"/>
    </row>
    <row r="9" spans="2:19" x14ac:dyDescent="0.2">
      <c r="B9" s="81" t="s">
        <v>14</v>
      </c>
      <c r="C9" s="81"/>
      <c r="D9" s="82"/>
      <c r="E9" s="82"/>
      <c r="F9" s="82"/>
      <c r="G9" s="82"/>
      <c r="H9" s="82"/>
      <c r="I9" s="82"/>
      <c r="J9" s="82"/>
    </row>
    <row r="10" spans="2:19" x14ac:dyDescent="0.2">
      <c r="B10" s="83" t="s">
        <v>7</v>
      </c>
      <c r="C10" s="84" t="s">
        <v>30</v>
      </c>
      <c r="D10" s="83" t="s">
        <v>0</v>
      </c>
      <c r="E10" s="83" t="s">
        <v>3</v>
      </c>
      <c r="F10" s="83" t="s">
        <v>4</v>
      </c>
      <c r="G10" s="83" t="s">
        <v>8</v>
      </c>
      <c r="H10" s="83" t="s">
        <v>9</v>
      </c>
      <c r="I10" s="83" t="s">
        <v>10</v>
      </c>
      <c r="J10" s="83" t="s">
        <v>12</v>
      </c>
    </row>
    <row r="11" spans="2:19" ht="34.5" thickBot="1" x14ac:dyDescent="0.25">
      <c r="B11" s="85" t="s">
        <v>37</v>
      </c>
      <c r="C11" s="85" t="s">
        <v>31</v>
      </c>
      <c r="D11" s="85" t="s">
        <v>26</v>
      </c>
      <c r="E11" s="85" t="s">
        <v>27</v>
      </c>
      <c r="F11" s="85" t="s">
        <v>4</v>
      </c>
      <c r="G11" s="85" t="s">
        <v>40</v>
      </c>
      <c r="H11" s="85" t="s">
        <v>41</v>
      </c>
      <c r="I11" s="85" t="s">
        <v>28</v>
      </c>
      <c r="J11" s="85" t="s">
        <v>29</v>
      </c>
    </row>
    <row r="12" spans="2:19" x14ac:dyDescent="0.2">
      <c r="B12" s="82" t="s">
        <v>149</v>
      </c>
      <c r="C12" s="86"/>
      <c r="D12" s="82" t="str">
        <f>B6</f>
        <v>TOTCO2</v>
      </c>
      <c r="E12" s="82" t="s">
        <v>150</v>
      </c>
      <c r="F12" s="82" t="str">
        <f>'EB1'!AA2</f>
        <v>kt</v>
      </c>
      <c r="G12" s="82"/>
      <c r="H12" s="82"/>
      <c r="I12" s="82"/>
      <c r="J12" s="8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RES_PRI</vt:lpstr>
      <vt:lpstr>Pri_COA</vt:lpstr>
      <vt:lpstr>Pri_GAS</vt:lpstr>
      <vt:lpstr>Pri_OIL</vt:lpstr>
      <vt:lpstr>Pri_RNW</vt:lpstr>
      <vt:lpstr>Pri_PP</vt:lpstr>
      <vt:lpstr>Pri_ELC</vt:lpstr>
      <vt:lpstr>Con_REF</vt:lpstr>
      <vt:lpstr>TOTCO2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2026-10-25T08:48:54Z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983608424663543</vt:r8>
  </property>
</Properties>
</file>