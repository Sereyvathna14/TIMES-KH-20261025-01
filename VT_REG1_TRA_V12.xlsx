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5\"/>
    </mc:Choice>
  </mc:AlternateContent>
  <xr:revisionPtr revIDLastSave="0" documentId="13_ncr:1_{F7707AC8-BC39-4F6B-88C7-92D7A4F444AA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41" l="1"/>
  <c r="D22" i="152"/>
  <c r="D21" i="152"/>
  <c r="N9" i="152"/>
  <c r="M9" i="152"/>
  <c r="M34" i="133"/>
  <c r="H34" i="133"/>
  <c r="I34" i="133"/>
  <c r="J34" i="133"/>
  <c r="G34" i="133"/>
  <c r="T29" i="141"/>
  <c r="T31" i="141"/>
  <c r="T30" i="141"/>
  <c r="T25" i="141"/>
  <c r="T28" i="141"/>
  <c r="T27" i="141" l="1"/>
  <c r="T26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E29" i="141" s="1"/>
  <c r="I9" i="133"/>
  <c r="J9" i="133"/>
  <c r="E24" i="141" s="1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2" i="152" s="1"/>
  <c r="T23" i="141"/>
  <c r="T22" i="141"/>
  <c r="E2" i="134"/>
  <c r="E8" i="134" s="1"/>
  <c r="S13" i="141"/>
  <c r="C2" i="152"/>
  <c r="M12" i="152" s="1"/>
  <c r="B2" i="152"/>
  <c r="L12" i="152" s="1"/>
  <c r="T21" i="141"/>
  <c r="T20" i="141"/>
  <c r="T19" i="141"/>
  <c r="E18" i="141"/>
  <c r="E2" i="141"/>
  <c r="C2" i="141"/>
  <c r="R25" i="141" s="1"/>
  <c r="B2" i="141"/>
  <c r="Q25" i="141" s="1"/>
  <c r="F2" i="141"/>
  <c r="I18" i="141" s="1"/>
  <c r="G2" i="134"/>
  <c r="E19" i="141" l="1"/>
  <c r="M19" i="141" s="1"/>
  <c r="M25" i="141"/>
  <c r="R29" i="141"/>
  <c r="E31" i="141"/>
  <c r="M31" i="141" s="1"/>
  <c r="E30" i="141"/>
  <c r="M30" i="141" s="1"/>
  <c r="E28" i="141"/>
  <c r="M28" i="141" s="1"/>
  <c r="E23" i="141"/>
  <c r="M23" i="141" s="1"/>
  <c r="E21" i="141"/>
  <c r="M21" i="141" s="1"/>
  <c r="E20" i="141"/>
  <c r="M20" i="141" s="1"/>
  <c r="M29" i="141"/>
  <c r="Q31" i="141"/>
  <c r="B31" i="141" s="1"/>
  <c r="C31" i="141" s="1"/>
  <c r="Q30" i="141"/>
  <c r="B30" i="141" s="1"/>
  <c r="C30" i="141" s="1"/>
  <c r="B25" i="141"/>
  <c r="C25" i="141" s="1"/>
  <c r="Q29" i="141"/>
  <c r="B29" i="141" s="1"/>
  <c r="C29" i="141" s="1"/>
  <c r="Q28" i="141"/>
  <c r="B28" i="141" s="1"/>
  <c r="C28" i="141" s="1"/>
  <c r="R31" i="141"/>
  <c r="R30" i="141"/>
  <c r="R11" i="141"/>
  <c r="R12" i="141"/>
  <c r="R9" i="141"/>
  <c r="R10" i="141"/>
  <c r="Q11" i="141"/>
  <c r="Q12" i="141"/>
  <c r="Q9" i="141"/>
  <c r="Q10" i="141"/>
  <c r="E26" i="141"/>
  <c r="M26" i="141" s="1"/>
  <c r="R20" i="141"/>
  <c r="R28" i="141"/>
  <c r="L7" i="152"/>
  <c r="E6" i="149" s="1"/>
  <c r="M8" i="152"/>
  <c r="M21" i="152" s="1"/>
  <c r="M25" i="152"/>
  <c r="N6" i="152"/>
  <c r="N25" i="152"/>
  <c r="O25" i="152"/>
  <c r="Q7" i="141"/>
  <c r="Q6" i="141"/>
  <c r="Q8" i="141"/>
  <c r="Q26" i="141"/>
  <c r="B26" i="141" s="1"/>
  <c r="C26" i="141" s="1"/>
  <c r="R5" i="141"/>
  <c r="L8" i="152"/>
  <c r="C21" i="152" s="1"/>
  <c r="E27" i="141"/>
  <c r="M27" i="141" s="1"/>
  <c r="R26" i="141"/>
  <c r="Q24" i="141"/>
  <c r="B24" i="141" s="1"/>
  <c r="C24" i="141" s="1"/>
  <c r="Q27" i="141"/>
  <c r="B27" i="141" s="1"/>
  <c r="C27" i="141" s="1"/>
  <c r="R13" i="141"/>
  <c r="R8" i="141"/>
  <c r="R24" i="141"/>
  <c r="M24" i="141"/>
  <c r="R7" i="141"/>
  <c r="R27" i="141"/>
  <c r="R6" i="141"/>
  <c r="R23" i="141"/>
  <c r="L5" i="152"/>
  <c r="Q23" i="141"/>
  <c r="B23" i="141" s="1"/>
  <c r="C23" i="141" s="1"/>
  <c r="L6" i="152"/>
  <c r="L19" i="152" s="1"/>
  <c r="B19" i="152" s="1"/>
  <c r="F17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9" i="152"/>
  <c r="M10" i="152"/>
  <c r="M23" i="152" s="1"/>
  <c r="O24" i="152"/>
  <c r="V10" i="133"/>
  <c r="M13" i="133"/>
  <c r="Q5" i="141"/>
  <c r="H10" i="134" s="1"/>
  <c r="Q22" i="141"/>
  <c r="B22" i="141" s="1"/>
  <c r="C22" i="141" s="1"/>
  <c r="L11" i="152"/>
  <c r="N13" i="133"/>
  <c r="V11" i="133"/>
  <c r="S13" i="133"/>
  <c r="V7" i="133"/>
  <c r="M7" i="152"/>
  <c r="M20" i="152" s="1"/>
  <c r="M11" i="152"/>
  <c r="M24" i="152" s="1"/>
  <c r="O13" i="133"/>
  <c r="N10" i="152"/>
  <c r="M6" i="152"/>
  <c r="M19" i="152" s="1"/>
  <c r="L10" i="152"/>
  <c r="T13" i="133"/>
  <c r="O20" i="152"/>
  <c r="M5" i="152"/>
  <c r="M18" i="152" s="1"/>
  <c r="V8" i="133"/>
  <c r="H13" i="133"/>
  <c r="L13" i="133"/>
  <c r="N8" i="152"/>
  <c r="V12" i="133"/>
  <c r="E22" i="141"/>
  <c r="M22" i="141" s="1"/>
  <c r="D13" i="133"/>
  <c r="J13" i="133"/>
  <c r="O18" i="152"/>
  <c r="V5" i="133"/>
  <c r="N23" i="152"/>
  <c r="Q20" i="141"/>
  <c r="B20" i="141" s="1"/>
  <c r="C20" i="141" s="1"/>
  <c r="V6" i="133"/>
  <c r="N5" i="152"/>
  <c r="O21" i="152"/>
  <c r="O23" i="152"/>
  <c r="N7" i="152"/>
  <c r="N24" i="152"/>
  <c r="R22" i="141"/>
  <c r="R21" i="141"/>
  <c r="F13" i="133"/>
  <c r="N11" i="152"/>
  <c r="N20" i="152"/>
  <c r="N18" i="152"/>
  <c r="N21" i="152"/>
  <c r="N19" i="152"/>
  <c r="E12" i="141" l="1"/>
  <c r="C12" i="134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H28" i="134"/>
  <c r="H26" i="134"/>
  <c r="H27" i="134"/>
  <c r="H25" i="134"/>
  <c r="H39" i="134"/>
  <c r="H40" i="134"/>
  <c r="H37" i="134"/>
  <c r="H38" i="134"/>
  <c r="C15" i="134"/>
  <c r="H34" i="134"/>
  <c r="H35" i="134"/>
  <c r="H33" i="134"/>
  <c r="H36" i="134"/>
  <c r="B8" i="149"/>
  <c r="C16" i="134"/>
  <c r="D29" i="141"/>
  <c r="C14" i="134"/>
  <c r="C11" i="134"/>
  <c r="D23" i="141"/>
  <c r="D31" i="141"/>
  <c r="D30" i="141"/>
  <c r="D25" i="141"/>
  <c r="D28" i="141"/>
  <c r="L20" i="152"/>
  <c r="B20" i="152" s="1"/>
  <c r="D20" i="152"/>
  <c r="C20" i="152" s="1"/>
  <c r="L25" i="152"/>
  <c r="B25" i="152" s="1"/>
  <c r="D25" i="152"/>
  <c r="D24" i="141"/>
  <c r="H13" i="134"/>
  <c r="D22" i="141"/>
  <c r="C10" i="134"/>
  <c r="H14" i="134"/>
  <c r="D27" i="141"/>
  <c r="H16" i="134"/>
  <c r="D26" i="141"/>
  <c r="H15" i="134"/>
  <c r="F6" i="149"/>
  <c r="L21" i="152"/>
  <c r="B21" i="152" s="1"/>
  <c r="D6" i="149"/>
  <c r="D19" i="152"/>
  <c r="C19" i="152" s="1"/>
  <c r="C6" i="149"/>
  <c r="L18" i="152"/>
  <c r="B18" i="152" s="1"/>
  <c r="D18" i="152"/>
  <c r="C18" i="152" s="1"/>
  <c r="D19" i="141"/>
  <c r="D20" i="141"/>
  <c r="C9" i="134"/>
  <c r="H12" i="134"/>
  <c r="D21" i="141"/>
  <c r="H11" i="134"/>
  <c r="D23" i="152"/>
  <c r="C23" i="152" s="1"/>
  <c r="L23" i="152"/>
  <c r="B23" i="152" s="1"/>
  <c r="V13" i="133"/>
  <c r="H9" i="134"/>
  <c r="D24" i="152"/>
  <c r="C24" i="152" s="1"/>
  <c r="L24" i="152"/>
  <c r="B24" i="152" s="1"/>
  <c r="E12" i="134" l="1"/>
  <c r="E11" i="134"/>
  <c r="E13" i="134"/>
  <c r="E14" i="134"/>
  <c r="E16" i="134"/>
  <c r="E10" i="134"/>
  <c r="E15" i="134"/>
  <c r="E9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<sst xmlns="http://schemas.openxmlformats.org/spreadsheetml/2006/main" count="446" uniqueCount="202">
  <si>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</si>
  <si>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</si>
  <si>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</si>
  <si>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</si>
  <si>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</si>
  <si>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</si>
  <si>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</si>
  <si>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</si>
  <si>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</si>
  <si>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</si>
  <si>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</si>
  <si>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</si>
  <si>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</si>
  <si>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</si>
  <si>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</si>
  <si>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</si>
  <si>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</si>
  <si>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</si>
  <si>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</si>
  <si>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</si>
  <si>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</si>
  <si>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</si>
  <si>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</si>
  <si>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</si>
  <si>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</si>
  <si>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</si>
  <si>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</si>
  <si>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</si>
  <si>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</si>
  <si>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</si>
  <si>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</si>
  <si>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</si>
  <si>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</si>
  <si>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</si>
  <si>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</si>
  <si>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</si>
  <si>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</si>
  <si>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</si>
  <si>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</si>
  <si>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</si>
  <si>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</si>
  <si>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</si>
  <si>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</si>
  <si>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</si>
  <si>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</si>
  <si>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</si>
  <si>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</si>
  <si>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</si>
  <si>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</si>
  <si>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</si>
  <si>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</si>
  <si>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</si>
  <si>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</si>
  <si>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</si>
  <si>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</si>
  <si>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</si>
  <si>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</si>
  <si>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</si>
  <si>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</si>
  <si>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</si>
  <si>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</si>
  <si>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</si>
  <si>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</si>
  <si>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</si>
  <si>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</si>
  <si>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</si>
  <si>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</si>
  <si>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</si>
  <si>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</si>
  <si>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</si>
  <si>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</si>
  <si>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</si>
  <si>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</si>
  <si>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</si>
  <si>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</si>
  <si>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</si>
  <si>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</si>
  <si>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</si>
  <si>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</si>
  <si>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</si>
  <si>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</si>
  <si>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</si>
  <si>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</si>
  <si>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</si>
  <si>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</si>
  <si>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</si>
  <si>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</si>
  <si>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</si>
  <si>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</si>
  <si>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</si>
  <si>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</si>
  <si>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</si>
  <si>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</si>
  <si>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</si>
  <si>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</si>
  <si>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</si>
  <si>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</si>
  <si>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</si>
  <si>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</si>
  <si>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</si>
  <si>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</si>
  <si>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</si>
  <si>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</si>
  <si>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</si>
  <si>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</si>
  <si>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</si>
  <si>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</si>
  <si>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</si>
  <si>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</si>
  <si>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</si>
  <si>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</si>
  <si>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</si>
  <si>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</si>
  <si>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</si>
  <si>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</si>
  <si>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</si>
  <si>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</si>
  <si>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</si>
  <si>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</si>
  <si>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</si>
  <si>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</si>
  <si>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</si>
  <si>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</si>
  <si>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</si>
  <si>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</si>
  <si>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</si>
  <si>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</si>
  <si>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</si>
  <si>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</si>
  <si>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</si>
  <si>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</si>
  <si>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</si>
  <si>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</si>
  <si>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</si>
  <si>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</si>
  <si>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</si>
  <si>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</si>
  <si>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</si>
  <si>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</si>
  <si>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</si>
  <si>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</si>
  <si>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</si>
  <si>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</si>
  <si>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</si>
  <si>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</si>
  <si>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</si>
  <si>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</si>
  <si>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</si>
  <si>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</si>
  <si>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</si>
  <si>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</si>
  <si>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</si>
  <si>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</si>
  <si>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</si>
  <si>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</si>
  <si>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</si>
  <si>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</si>
  <si>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</si>
  <si>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</si>
  <si>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</si>
  <si>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</si>
  <si>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</si>
  <si>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</si>
  <si>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</si>
  <si>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</si>
  <si>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</si>
  <si>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</si>
  <si>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</si>
  <si>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</si>
  <si>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</si>
  <si>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</si>
  <si>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</si>
  <si>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</si>
  <si>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</si>
  <si>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</si>
  <si>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</si>
  <si>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</si>
  <si>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</si>
  <si>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</si>
  <si>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</si>
  <si>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</si>
  <si>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</si>
  <si>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</si>
  <si>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</si>
  <si>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</si>
  <si>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</si>
  <si>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</si>
  <si>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</si>
  <si>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</si>
  <si>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</si>
  <si>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</si>
  <si>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</si>
  <si>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</si>
  <si>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</si>
  <si>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</si>
  <si>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</si>
  <si>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</si>
  <si>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</si>
  <si>
    <t>PJa</t>
  </si>
  <si>
    <t>FTE-TRAHFO</t>
  </si>
  <si>
    <t>TRAHFO</t>
  </si>
  <si>
    <t>Sector Fuel Technology Existing Transport HFO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</si>
</sst>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7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  <xf numFmtId="9" fontId="0" fillId="0" borderId="0" xfId="0" applyNumberFormat="1"/>
    <xf numFmtId="1" fontId="22" fillId="0" borderId="0" xfId="0" applyNumberFormat="1" applyFont="1"/>
    <xf numFmtId="2" fontId="22" fillId="16" borderId="0" xfId="9" applyNumberFormat="1" applyFont="1" applyFill="1"/>
    <xf numFmtId="0" fontId="22" fillId="16" borderId="0" xfId="9" applyFont="1" applyFill="1"/>
    <xf numFmtId="0" fontId="23" fillId="14" borderId="0" xfId="0" applyFont="1" applyFill="1"/>
    <xf numFmtId="166" fontId="29" fillId="15" borderId="0" xfId="0" applyNumberFormat="1" applyFont="1" applyFill="1" applyAlignment="1">
      <alignment horizontal="left" vertical="center"/>
    </xf>
    <xf numFmtId="9" fontId="29" fillId="15" borderId="0" xfId="17" applyFont="1" applyFill="1" applyBorder="1" applyAlignment="1">
      <alignment horizontal="left" vertical="center"/>
    </xf>
    <xf numFmtId="9" fontId="30" fillId="10" borderId="0" xfId="17" applyFont="1" applyFill="1" applyBorder="1" applyAlignment="1"/>
    <xf numFmtId="0" fontId="22" fillId="0" borderId="27" xfId="0" applyFont="1" applyBorder="1"/>
    <xf numFmtId="0" fontId="22" fillId="0" borderId="28" xfId="0" applyFont="1" applyBorder="1"/>
    <xf numFmtId="167" fontId="22" fillId="0" borderId="29" xfId="0" applyNumberFormat="1" applyFont="1" applyBorder="1"/>
    <xf numFmtId="1" fontId="22" fillId="17" borderId="0" xfId="0" applyNumberFormat="1" applyFont="1" applyFill="1"/>
    <xf numFmtId="2" fontId="22" fillId="16" borderId="20" xfId="0" applyNumberFormat="1" applyFont="1" applyFill="1" applyBorder="1"/>
    <xf numFmtId="0" fontId="22" fillId="16" borderId="0" xfId="0" applyFont="1" applyFill="1"/>
    <xf numFmtId="2" fontId="22" fillId="16" borderId="0" xfId="0" applyNumberFormat="1" applyFont="1" applyFill="1"/>
    <xf numFmtId="0" fontId="22" fillId="16" borderId="30" xfId="0" applyFont="1" applyFill="1" applyBorder="1"/>
    <xf numFmtId="165" fontId="22" fillId="16" borderId="0" xfId="0" applyNumberFormat="1" applyFont="1" applyFill="1"/>
    <xf numFmtId="167" fontId="22" fillId="0" borderId="0" xfId="0" applyNumberFormat="1" applyFont="1"/>
    <xf numFmtId="165" fontId="0" fillId="15" borderId="0" xfId="0" applyNumberFormat="1" applyFill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33</xdr:row>
      <xdr:rowOff>0</xdr:rowOff>
    </xdr:from>
    <xdr:to>
      <xdr:col>14</xdr:col>
      <xdr:colOff>398145</xdr:colOff>
      <xdr:row>39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15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workbookViewId="0">
      <selection activeCell="A9" sqref="A9:XFD9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28515625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</cols>
  <sheetData>
    <row r="1" spans="2:27" x14ac:dyDescent="0.2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75" x14ac:dyDescent="0.25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8.25" x14ac:dyDescent="0.2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5" x14ac:dyDescent="0.25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174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5" x14ac:dyDescent="0.25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27" ht="15" x14ac:dyDescent="0.25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">
      <c r="C23" s="1"/>
      <c r="D23" s="21"/>
    </row>
    <row r="24" spans="2:24" ht="38.25" x14ac:dyDescent="0.2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5" x14ac:dyDescent="0.25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0.5</v>
      </c>
      <c r="K25" s="85"/>
      <c r="L25" s="85"/>
      <c r="M25" s="88">
        <v>0.5</v>
      </c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5" x14ac:dyDescent="0.25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5" x14ac:dyDescent="0.25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0.45</v>
      </c>
      <c r="K27" s="115"/>
      <c r="L27" s="115"/>
      <c r="M27" s="116">
        <v>0.45</v>
      </c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5" x14ac:dyDescent="0.25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6">
        <v>0.05</v>
      </c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5" x14ac:dyDescent="0.25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5" x14ac:dyDescent="0.25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s="14" customFormat="1" ht="15" x14ac:dyDescent="0.25">
      <c r="B31" s="160" t="s">
        <v>66</v>
      </c>
      <c r="C31" s="161" t="s">
        <v>187</v>
      </c>
      <c r="D31" s="162"/>
      <c r="E31" s="162"/>
      <c r="F31" s="162"/>
      <c r="G31" s="163">
        <v>0</v>
      </c>
      <c r="H31" s="162"/>
      <c r="I31" s="162"/>
      <c r="J31" s="162"/>
      <c r="K31" s="162"/>
      <c r="L31" s="163">
        <v>1</v>
      </c>
      <c r="M31" s="162"/>
      <c r="N31" s="162"/>
      <c r="O31" s="162"/>
      <c r="P31" s="162"/>
      <c r="Q31" s="162"/>
      <c r="R31" s="162"/>
      <c r="S31" s="162"/>
      <c r="T31" s="162"/>
      <c r="U31" s="162"/>
      <c r="V31" s="161"/>
      <c r="X31" s="161" t="s">
        <v>191</v>
      </c>
    </row>
    <row r="32" spans="2:24" ht="15" x14ac:dyDescent="0.25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</v>
      </c>
      <c r="K32" s="115"/>
      <c r="L32" s="115"/>
      <c r="M32" s="116">
        <v>0</v>
      </c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4" spans="2:13" x14ac:dyDescent="0.2">
      <c r="G34" s="156">
        <f>SUM(G25:G32)</f>
        <v>0.99</v>
      </c>
      <c r="H34" s="156">
        <f t="shared" ref="H34:J34" si="2">SUM(H25:H32)</f>
        <v>1</v>
      </c>
      <c r="I34" s="156">
        <f t="shared" si="2"/>
        <v>1</v>
      </c>
      <c r="J34" s="156">
        <f t="shared" si="2"/>
        <v>1</v>
      </c>
      <c r="M34" s="156">
        <f t="shared" ref="M34" si="3">SUM(M25:M32)</f>
        <v>1</v>
      </c>
    </row>
    <row r="35" spans="2:13" x14ac:dyDescent="0.2">
      <c r="C35" s="55" t="s">
        <v>106</v>
      </c>
      <c r="D35" s="57" t="s">
        <v>107</v>
      </c>
      <c r="E35" s="56" t="s">
        <v>108</v>
      </c>
    </row>
    <row r="36" spans="2:13" x14ac:dyDescent="0.2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13" x14ac:dyDescent="0.2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</cols>
  <sheetData>
    <row r="3" spans="2:7" ht="18" x14ac:dyDescent="0.25">
      <c r="B3" s="68" t="s">
        <v>156</v>
      </c>
    </row>
    <row r="5" spans="2:7" x14ac:dyDescent="0.2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8"/>
  <sheetViews>
    <sheetView zoomScaleNormal="100" workbookViewId="0">
      <selection activeCell="F22" sqref="F22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75" x14ac:dyDescent="0.25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4" thickBot="1" x14ac:dyDescent="0.3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2" si="0">$E$2</f>
        <v>PJ</v>
      </c>
      <c r="O5" s="110"/>
      <c r="P5" s="110"/>
      <c r="Q5" s="110"/>
      <c r="R5" s="110"/>
    </row>
    <row r="6" spans="2:18" x14ac:dyDescent="0.2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">
      <c r="E9" s="12"/>
      <c r="F9" s="12"/>
      <c r="G9" s="67"/>
      <c r="H9" s="11"/>
      <c r="J9" s="110"/>
      <c r="K9" s="110"/>
      <c r="L9" s="14" t="s">
        <v>200</v>
      </c>
      <c r="M9" s="111" t="str">
        <f>$C$2&amp;" "&amp;'EB1'!$L$3</f>
        <v>Transport Heavy Fuel Oil</v>
      </c>
      <c r="N9" s="110" t="str">
        <f t="shared" si="0"/>
        <v>PJ</v>
      </c>
      <c r="O9" s="110"/>
      <c r="P9" s="110"/>
      <c r="Q9" s="110"/>
      <c r="R9" s="110"/>
    </row>
    <row r="10" spans="2:18" x14ac:dyDescent="0.2">
      <c r="E10" s="12"/>
      <c r="F10" s="12"/>
      <c r="G10" s="67"/>
      <c r="H10" s="11"/>
      <c r="J10" s="110"/>
      <c r="K10" s="110"/>
      <c r="L10" s="110" t="str">
        <f>$B$2&amp;'EB1'!$O$2</f>
        <v>TRABIO</v>
      </c>
      <c r="M10" s="111" t="str">
        <f>$C$2&amp;" "&amp;'EB1'!O3</f>
        <v>Transport Biofuels</v>
      </c>
      <c r="N10" s="110" t="str">
        <f t="shared" si="0"/>
        <v>PJ</v>
      </c>
      <c r="O10" s="110"/>
      <c r="P10" s="110"/>
      <c r="Q10" s="110"/>
      <c r="R10" s="110"/>
    </row>
    <row r="11" spans="2:18" x14ac:dyDescent="0.2">
      <c r="E11" s="12"/>
      <c r="F11" s="12"/>
      <c r="G11" s="67"/>
      <c r="H11" s="11"/>
      <c r="J11" s="110"/>
      <c r="K11" s="110"/>
      <c r="L11" s="110" t="str">
        <f>$B$2&amp;'EB1'!$U$2</f>
        <v>TRAELC</v>
      </c>
      <c r="M11" s="111" t="str">
        <f>$C$2&amp;" "&amp;'EB1'!$U$3</f>
        <v>Transport Electricity</v>
      </c>
      <c r="N11" s="110" t="str">
        <f t="shared" si="0"/>
        <v>PJ</v>
      </c>
      <c r="O11" s="110"/>
      <c r="P11" s="110" t="s">
        <v>121</v>
      </c>
      <c r="Q11" s="110"/>
      <c r="R11" s="110" t="s">
        <v>50</v>
      </c>
    </row>
    <row r="12" spans="2:18" x14ac:dyDescent="0.2">
      <c r="L12" s="110" t="str">
        <f>$B$2&amp;'EB1'!$H$2</f>
        <v>TRAKER</v>
      </c>
      <c r="M12" s="111" t="str">
        <f>$C$2&amp;" "&amp;'EB1'!$H$3</f>
        <v>Transport Kerosenes</v>
      </c>
      <c r="N12" s="110" t="str">
        <f t="shared" si="0"/>
        <v>PJ</v>
      </c>
    </row>
    <row r="13" spans="2:18" x14ac:dyDescent="0.2">
      <c r="L13" s="110"/>
      <c r="M13" s="111"/>
      <c r="N13" s="110"/>
    </row>
    <row r="14" spans="2:18" x14ac:dyDescent="0.2">
      <c r="D14" s="5" t="s">
        <v>13</v>
      </c>
      <c r="E14" s="5"/>
      <c r="F14" s="5"/>
      <c r="J14" s="105" t="s">
        <v>15</v>
      </c>
      <c r="K14" s="105"/>
      <c r="L14" s="110"/>
      <c r="M14" s="110"/>
      <c r="N14" s="110"/>
      <c r="O14" s="110"/>
      <c r="P14" s="110"/>
      <c r="Q14" s="110"/>
      <c r="R14" s="110"/>
    </row>
    <row r="15" spans="2:18" x14ac:dyDescent="0.2">
      <c r="B15" s="17" t="s">
        <v>1</v>
      </c>
      <c r="C15" s="17" t="s">
        <v>5</v>
      </c>
      <c r="D15" s="17" t="s">
        <v>6</v>
      </c>
      <c r="E15" s="72" t="s">
        <v>151</v>
      </c>
      <c r="F15" s="70" t="s">
        <v>123</v>
      </c>
      <c r="G15" s="70" t="s">
        <v>85</v>
      </c>
      <c r="H15" s="70" t="s">
        <v>79</v>
      </c>
      <c r="J15" s="107" t="s">
        <v>11</v>
      </c>
      <c r="K15" s="108" t="s">
        <v>30</v>
      </c>
      <c r="L15" s="107" t="s">
        <v>1</v>
      </c>
      <c r="M15" s="107" t="s">
        <v>2</v>
      </c>
      <c r="N15" s="107" t="s">
        <v>16</v>
      </c>
      <c r="O15" s="107" t="s">
        <v>17</v>
      </c>
      <c r="P15" s="107" t="s">
        <v>18</v>
      </c>
      <c r="Q15" s="107" t="s">
        <v>19</v>
      </c>
      <c r="R15" s="107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150</v>
      </c>
      <c r="F16" s="16" t="s">
        <v>34</v>
      </c>
      <c r="G16" s="16" t="s">
        <v>90</v>
      </c>
      <c r="H16" s="16" t="s">
        <v>172</v>
      </c>
      <c r="J16" s="109" t="s">
        <v>38</v>
      </c>
      <c r="K16" s="109" t="s">
        <v>31</v>
      </c>
      <c r="L16" s="109" t="s">
        <v>21</v>
      </c>
      <c r="M16" s="109" t="s">
        <v>22</v>
      </c>
      <c r="N16" s="109" t="s">
        <v>23</v>
      </c>
      <c r="O16" s="109" t="s">
        <v>24</v>
      </c>
      <c r="P16" s="109" t="s">
        <v>43</v>
      </c>
      <c r="Q16" s="109" t="s">
        <v>42</v>
      </c>
      <c r="R16" s="109" t="s">
        <v>25</v>
      </c>
    </row>
    <row r="17" spans="2:18" ht="13.5" thickBot="1" x14ac:dyDescent="0.25">
      <c r="B17" s="15" t="s">
        <v>91</v>
      </c>
      <c r="C17" s="15"/>
      <c r="D17" s="15"/>
      <c r="E17" s="13"/>
      <c r="F17" s="13" t="str">
        <f>E2&amp;"a"</f>
        <v>PJa</v>
      </c>
      <c r="G17" s="13"/>
      <c r="H17" s="13" t="s">
        <v>92</v>
      </c>
      <c r="J17" s="109" t="s">
        <v>81</v>
      </c>
      <c r="K17" s="112"/>
      <c r="L17" s="112"/>
      <c r="M17" s="112"/>
      <c r="N17" s="112"/>
      <c r="O17" s="112"/>
      <c r="P17" s="112"/>
      <c r="Q17" s="112"/>
      <c r="R17" s="112"/>
    </row>
    <row r="18" spans="2:18" x14ac:dyDescent="0.2">
      <c r="B18" t="str">
        <f t="shared" ref="B18:B25" si="1">L18</f>
        <v>FTE-TRAGAS</v>
      </c>
      <c r="C18" t="str">
        <f t="shared" ref="C18:C24" si="2">RIGHT(D18,3)</f>
        <v>GAS</v>
      </c>
      <c r="D18" t="str">
        <f t="shared" ref="D18:D25" si="3">L5</f>
        <v>TRAGAS</v>
      </c>
      <c r="E18" s="12"/>
      <c r="F18" s="12"/>
      <c r="G18" s="62">
        <v>1</v>
      </c>
      <c r="H18" s="63">
        <v>30</v>
      </c>
      <c r="J18" s="106" t="s">
        <v>112</v>
      </c>
      <c r="K18" s="110"/>
      <c r="L18" s="110" t="str">
        <f t="shared" ref="L18:L21" si="4">"FT"&amp;$G$2&amp;"-"&amp;L5</f>
        <v>FTE-TRAGAS</v>
      </c>
      <c r="M18" s="111" t="str">
        <f t="shared" ref="M18:M21" si="5">$D$2&amp;" Technology"&amp;" "&amp;$G$1&amp;" "&amp;M5</f>
        <v>Sector Fuel Technology Existing Transport Natural Gas</v>
      </c>
      <c r="N18" s="110" t="str">
        <f t="shared" ref="N18:N25" si="6">$E$2</f>
        <v>PJ</v>
      </c>
      <c r="O18" s="110" t="str">
        <f t="shared" ref="O18:O25" si="7">$E$2&amp;"a"</f>
        <v>PJa</v>
      </c>
      <c r="P18" s="110"/>
      <c r="Q18" s="110"/>
      <c r="R18" s="110"/>
    </row>
    <row r="19" spans="2:18" x14ac:dyDescent="0.2">
      <c r="B19" t="str">
        <f t="shared" si="1"/>
        <v>FTE-TRADSL</v>
      </c>
      <c r="C19" t="str">
        <f t="shared" si="2"/>
        <v>DSL</v>
      </c>
      <c r="D19" t="str">
        <f t="shared" si="3"/>
        <v>TRADSL</v>
      </c>
      <c r="E19" s="12"/>
      <c r="F19" s="12"/>
      <c r="G19" s="62">
        <v>1</v>
      </c>
      <c r="H19" s="63">
        <v>30</v>
      </c>
      <c r="J19" s="106"/>
      <c r="K19" s="110"/>
      <c r="L19" s="110" t="str">
        <f t="shared" si="4"/>
        <v>FTE-TRADSL</v>
      </c>
      <c r="M19" s="111" t="str">
        <f t="shared" si="5"/>
        <v>Sector Fuel Technology Existing Transport Diesel oil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">
      <c r="B20" t="str">
        <f t="shared" si="1"/>
        <v>FTE-TRALPG</v>
      </c>
      <c r="C20" t="str">
        <f t="shared" si="2"/>
        <v>LPG</v>
      </c>
      <c r="D20" t="str">
        <f t="shared" si="3"/>
        <v>TRALPG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FTE-TRALPG</v>
      </c>
      <c r="M20" s="111" t="str">
        <f t="shared" si="5"/>
        <v>Sector Fuel Technology Existing Transport LPG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">
      <c r="B21" t="str">
        <f t="shared" si="1"/>
        <v>FTE-TRAGSL</v>
      </c>
      <c r="C21" t="str">
        <f t="shared" si="2"/>
        <v>GSL</v>
      </c>
      <c r="D21" s="110" t="str">
        <f t="shared" si="3"/>
        <v>TRAGSL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FTE-TRAGSL</v>
      </c>
      <c r="M21" s="111" t="str">
        <f t="shared" si="5"/>
        <v>Sector Fuel Technology Existing Transport Motor spirit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">
      <c r="B22" s="14" t="s">
        <v>199</v>
      </c>
      <c r="C22" s="14" t="s">
        <v>130</v>
      </c>
      <c r="D22" s="110" t="str">
        <f t="shared" si="3"/>
        <v>TRAHFO</v>
      </c>
      <c r="E22" s="157"/>
      <c r="F22" s="157"/>
      <c r="G22" s="158">
        <v>1</v>
      </c>
      <c r="H22" s="159">
        <v>30</v>
      </c>
      <c r="J22" s="110"/>
      <c r="K22" s="110"/>
      <c r="L22" s="173" t="s">
        <v>199</v>
      </c>
      <c r="M22" s="111" t="s">
        <v>201</v>
      </c>
      <c r="N22" s="110" t="s">
        <v>76</v>
      </c>
      <c r="O22" s="110" t="s">
        <v>198</v>
      </c>
      <c r="P22" s="110"/>
      <c r="Q22" s="110"/>
      <c r="R22" s="110"/>
    </row>
    <row r="23" spans="2:18" x14ac:dyDescent="0.2">
      <c r="B23" t="str">
        <f t="shared" si="1"/>
        <v>FTE-TRABIO</v>
      </c>
      <c r="C23" t="str">
        <f t="shared" si="2"/>
        <v>BIO</v>
      </c>
      <c r="D23" t="str">
        <f t="shared" si="3"/>
        <v>TRABIO</v>
      </c>
      <c r="E23" s="12"/>
      <c r="F23" s="12"/>
      <c r="G23" s="62">
        <v>1</v>
      </c>
      <c r="H23" s="63">
        <v>30</v>
      </c>
      <c r="J23" s="110"/>
      <c r="K23" s="110"/>
      <c r="L23" s="110" t="str">
        <f>"FT"&amp;$G$2&amp;"-"&amp;L10</f>
        <v>FTE-TRABIO</v>
      </c>
      <c r="M23" s="111" t="str">
        <f>$D$2&amp;" Technology"&amp;" "&amp;$G$1&amp;" "&amp;M10</f>
        <v>Sector Fuel Technology Existing Transport Biofuels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">
      <c r="B24" t="str">
        <f t="shared" si="1"/>
        <v>FTE-TRAELC</v>
      </c>
      <c r="C24" t="str">
        <f t="shared" si="2"/>
        <v>ELC</v>
      </c>
      <c r="D24" t="str">
        <f t="shared" si="3"/>
        <v>TRAELC</v>
      </c>
      <c r="E24" s="12"/>
      <c r="F24" s="12"/>
      <c r="G24" s="62">
        <v>1</v>
      </c>
      <c r="H24" s="63">
        <v>30</v>
      </c>
      <c r="J24" s="110"/>
      <c r="K24" s="110"/>
      <c r="L24" s="110" t="str">
        <f>"FT"&amp;$G$2&amp;"-"&amp;L11</f>
        <v>FTE-TRAELC</v>
      </c>
      <c r="M24" s="111" t="str">
        <f>$D$2&amp;" Technology"&amp;" "&amp;$G$1&amp;" "&amp;M11</f>
        <v>Sector Fuel Technology Existing Transport Electricity</v>
      </c>
      <c r="N24" s="110" t="str">
        <f t="shared" si="6"/>
        <v>PJ</v>
      </c>
      <c r="O24" s="110" t="str">
        <f t="shared" si="7"/>
        <v>PJa</v>
      </c>
      <c r="P24" s="110" t="s">
        <v>121</v>
      </c>
      <c r="Q24" s="110"/>
      <c r="R24" s="110"/>
    </row>
    <row r="25" spans="2:18" x14ac:dyDescent="0.2">
      <c r="B25" t="str">
        <f t="shared" si="1"/>
        <v>FTE-TRAKER</v>
      </c>
      <c r="C25" s="122" t="s">
        <v>126</v>
      </c>
      <c r="D25" t="str">
        <f t="shared" si="3"/>
        <v>TRAKER</v>
      </c>
      <c r="E25" s="12"/>
      <c r="F25" s="12"/>
      <c r="G25" s="62">
        <v>1</v>
      </c>
      <c r="H25" s="63">
        <v>30</v>
      </c>
      <c r="J25" s="110"/>
      <c r="K25" s="110"/>
      <c r="L25" s="110" t="str">
        <f>"FT"&amp;$G$2&amp;"-"&amp;L12</f>
        <v>FTE-TRAKER</v>
      </c>
      <c r="M25" s="111" t="str">
        <f>$D$2&amp;" Technology"&amp;" "&amp;$G$1&amp;" "&amp;M12</f>
        <v>Sector Fuel Technology Existing Transport Kerosenes</v>
      </c>
      <c r="N25" s="110" t="str">
        <f t="shared" si="6"/>
        <v>PJ</v>
      </c>
      <c r="O25" s="110" t="str">
        <f t="shared" si="7"/>
        <v>PJa</v>
      </c>
      <c r="P25" s="110"/>
      <c r="Q25" s="110"/>
      <c r="R25" s="110"/>
    </row>
    <row r="26" spans="2:18" x14ac:dyDescent="0.2">
      <c r="B26" s="23"/>
      <c r="D26" s="23"/>
      <c r="E26" s="12"/>
      <c r="F26" s="12"/>
      <c r="G26" s="67"/>
      <c r="H26" s="11"/>
      <c r="M26" s="19"/>
    </row>
    <row r="27" spans="2:18" x14ac:dyDescent="0.2">
      <c r="B27" s="23"/>
      <c r="D27" s="23"/>
      <c r="E27" s="12"/>
      <c r="F27" s="12"/>
      <c r="G27" s="67"/>
      <c r="H27" s="11"/>
      <c r="J27" s="23"/>
      <c r="K27" s="23"/>
      <c r="M27" s="19"/>
    </row>
    <row r="28" spans="2:18" x14ac:dyDescent="0.2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">
      <c r="B29" s="23"/>
      <c r="D29" s="23"/>
      <c r="E29" s="90"/>
      <c r="F29" s="12"/>
      <c r="G29" s="67"/>
      <c r="H29" s="11"/>
      <c r="J29" s="23"/>
      <c r="K29" s="23"/>
      <c r="M29" s="19"/>
    </row>
    <row r="30" spans="2:18" x14ac:dyDescent="0.2">
      <c r="B30" s="23"/>
      <c r="D30" s="23"/>
      <c r="E30" s="90"/>
      <c r="F30" s="12"/>
      <c r="G30" s="67"/>
      <c r="H30" s="11"/>
      <c r="M30" s="19"/>
    </row>
    <row r="31" spans="2:18" x14ac:dyDescent="0.2">
      <c r="B31" s="23"/>
      <c r="D31" s="23"/>
      <c r="E31" s="90"/>
      <c r="F31" s="12"/>
      <c r="G31" s="67"/>
      <c r="H31" s="11"/>
    </row>
    <row r="32" spans="2:18" x14ac:dyDescent="0.2">
      <c r="B32" s="23"/>
      <c r="D32" s="23"/>
      <c r="E32" s="12"/>
      <c r="F32" s="12"/>
      <c r="G32" s="67"/>
      <c r="H32" s="11"/>
    </row>
    <row r="33" spans="2:8" x14ac:dyDescent="0.2">
      <c r="B33" s="23"/>
      <c r="D33" s="23"/>
      <c r="E33" s="12"/>
      <c r="F33" s="12"/>
      <c r="G33" s="67"/>
      <c r="H33" s="11"/>
    </row>
    <row r="37" spans="2:8" x14ac:dyDescent="0.2">
      <c r="B37" s="42"/>
      <c r="C37" s="1" t="s">
        <v>154</v>
      </c>
    </row>
    <row r="38" spans="2:8" x14ac:dyDescent="0.2">
      <c r="B38" s="61"/>
      <c r="C38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abSelected="1" topLeftCell="A14" zoomScale="115" zoomScaleNormal="115" workbookViewId="0">
      <selection activeCell="I40" sqref="I40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5" width="12.28515625" bestFit="1" customWidth="1"/>
    <col min="6" max="6" width="13.140625" bestFit="1" customWidth="1"/>
    <col min="7" max="7" width="10.5703125" bestFit="1" customWidth="1"/>
    <col min="8" max="8" width="15.140625" bestFit="1" customWidth="1"/>
    <col min="9" max="9" width="15.5703125" bestFit="1" customWidth="1"/>
    <col min="10" max="10" width="8.85546875" customWidth="1"/>
    <col min="11" max="11" width="13.5703125" bestFit="1" customWidth="1"/>
    <col min="12" max="12" width="2" bestFit="1" customWidth="1"/>
    <col min="13" max="13" width="13.85546875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63.42578125" bestFit="1" customWidth="1"/>
    <col min="19" max="19" width="7.710937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5" x14ac:dyDescent="0.25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4" thickBot="1" x14ac:dyDescent="0.3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75" x14ac:dyDescent="0.25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75" x14ac:dyDescent="0.25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75" x14ac:dyDescent="0.25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75" x14ac:dyDescent="0.25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75" x14ac:dyDescent="0.25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75" x14ac:dyDescent="0.25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75" x14ac:dyDescent="0.25">
      <c r="B11" s="9"/>
      <c r="C11" s="9"/>
      <c r="D11" s="9"/>
      <c r="E11" s="9"/>
      <c r="F11" s="9"/>
      <c r="O11" s="106"/>
      <c r="P11" s="110"/>
      <c r="Q11" s="173" t="str">
        <f>LEFT($O$5,1)&amp;LEFT($B$2,1)&amp;'EB1'!$C$31</f>
        <v>DTRAI</v>
      </c>
      <c r="R11" s="173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75" x14ac:dyDescent="0.25">
      <c r="B12" s="9"/>
      <c r="C12" s="9"/>
      <c r="D12" s="9"/>
      <c r="E12" s="155">
        <f>SUM(E24:E24)</f>
        <v>2134.2261517623533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">
      <c r="E13" s="154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23.25" thickBot="1" x14ac:dyDescent="0.25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5" thickBot="1" x14ac:dyDescent="0.25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8" t="s">
        <v>147</v>
      </c>
      <c r="H18" s="143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4">
        <v>0.41</v>
      </c>
      <c r="G19" s="149">
        <v>16.5</v>
      </c>
      <c r="H19" s="140">
        <v>1.25</v>
      </c>
      <c r="I19" s="64">
        <v>0.16</v>
      </c>
      <c r="J19" s="151">
        <v>10</v>
      </c>
      <c r="K19" s="66">
        <v>1E-3</v>
      </c>
      <c r="M19" s="126">
        <f t="shared" ref="M19:M21" si="3">E19*G19*K19*H19</f>
        <v>6.4388108251593001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5">
        <v>0.38</v>
      </c>
      <c r="G20" s="149">
        <v>14</v>
      </c>
      <c r="H20" s="140">
        <v>1.25</v>
      </c>
      <c r="I20" s="65">
        <v>0.16</v>
      </c>
      <c r="J20" s="151">
        <v>10</v>
      </c>
      <c r="K20" s="66">
        <v>1E-3</v>
      </c>
      <c r="M20" s="126">
        <f t="shared" si="3"/>
        <v>7.1080949012400002E-2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500.78460427826104</v>
      </c>
      <c r="F21" s="146">
        <v>0.4</v>
      </c>
      <c r="G21" s="149">
        <v>11.5</v>
      </c>
      <c r="H21" s="140">
        <v>1.25</v>
      </c>
      <c r="I21" s="64">
        <v>0.15</v>
      </c>
      <c r="J21" s="151">
        <v>10</v>
      </c>
      <c r="K21" s="66">
        <v>1E-3</v>
      </c>
      <c r="M21" s="126">
        <f t="shared" si="3"/>
        <v>7.1987786865000025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4">
        <v>0.09</v>
      </c>
      <c r="G22" s="149">
        <v>55</v>
      </c>
      <c r="H22" s="140">
        <v>15</v>
      </c>
      <c r="I22" s="64">
        <v>0.24</v>
      </c>
      <c r="J22" s="151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0">
        <v>0.38</v>
      </c>
      <c r="G23" s="149">
        <v>55</v>
      </c>
      <c r="H23" s="140">
        <v>15</v>
      </c>
      <c r="I23" s="65">
        <v>0.16</v>
      </c>
      <c r="J23" s="151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2134.2261517623533</v>
      </c>
      <c r="F24" s="147">
        <v>1.4</v>
      </c>
      <c r="G24" s="151">
        <v>8.5</v>
      </c>
      <c r="H24" s="140">
        <v>1.25</v>
      </c>
      <c r="I24" s="64">
        <v>0.15</v>
      </c>
      <c r="J24" s="151">
        <v>10</v>
      </c>
      <c r="K24" s="66">
        <v>1E-3</v>
      </c>
      <c r="M24" s="126">
        <f t="shared" ref="M24" si="10">E24*G24*K24*H24</f>
        <v>22.676152862475007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">
      <c r="B25" s="164" t="str">
        <f t="shared" ref="B25" si="11">Q25</f>
        <v>TRAIEHFO</v>
      </c>
      <c r="C25" s="165" t="str">
        <f t="shared" ref="C25" si="12">$B$2&amp;RIGHT(B25,3)</f>
        <v>TRAHFO</v>
      </c>
      <c r="D25" s="166" t="str">
        <f t="shared" ref="D25" si="13">$Q$11</f>
        <v>DTRAI</v>
      </c>
      <c r="E25" s="167">
        <f>('EB1'!L$9*'EB1'!$L$31*F25/(K25*G25))*1.01</f>
        <v>25.363550663999998</v>
      </c>
      <c r="F25" s="168">
        <v>1</v>
      </c>
      <c r="G25" s="169">
        <v>50</v>
      </c>
      <c r="H25" s="170">
        <v>1</v>
      </c>
      <c r="I25" s="170">
        <v>0.24</v>
      </c>
      <c r="J25" s="171">
        <v>30</v>
      </c>
      <c r="K25" s="172">
        <v>1E-3</v>
      </c>
      <c r="M25" s="126">
        <f>E25*G25*K25*H25</f>
        <v>1.2681775332</v>
      </c>
      <c r="O25" s="106" t="s">
        <v>97</v>
      </c>
      <c r="P25" s="110"/>
      <c r="Q25" s="173" t="str">
        <f>LEFT($B$2)&amp;'EB1'!$C$31&amp;$H$2&amp;'EB1'!$L$2</f>
        <v>TRAIEHFO</v>
      </c>
      <c r="R25" s="111" t="str">
        <f>$D$2&amp;" "&amp;$C$2&amp; " Sector - "&amp;""&amp;$H$1&amp;" "&amp;'EB1'!$X$27&amp;" - "&amp;'EB1'!$L$3</f>
        <v>Demand Technologies Transport Sector - Existing Motor - Heavy Fuel Oil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">
      <c r="B26" s="127" t="str">
        <f t="shared" ref="B26:B27" si="14">Q26</f>
        <v>TTRIELPG</v>
      </c>
      <c r="C26" s="128" t="str">
        <f t="shared" ref="C26:C27" si="15">$B$2&amp;RIGHT(B26,3)</f>
        <v>TRALPG</v>
      </c>
      <c r="D26" s="129" t="str">
        <f t="shared" ref="D26:D27" si="16">$Q$8</f>
        <v>DTTRI</v>
      </c>
      <c r="E26" s="60">
        <f>('EB1'!I$9*'EB1'!$I$28*F26/(K26*G26))*1.01</f>
        <v>41.435545237690903</v>
      </c>
      <c r="F26" s="144">
        <v>0.86</v>
      </c>
      <c r="G26" s="151">
        <v>22</v>
      </c>
      <c r="H26" s="140">
        <v>2.5</v>
      </c>
      <c r="I26" s="64">
        <v>0.24</v>
      </c>
      <c r="J26" s="151">
        <v>10</v>
      </c>
      <c r="K26" s="66">
        <v>1E-3</v>
      </c>
      <c r="M26" s="126">
        <f>E26*G26*K26*H26</f>
        <v>2.2789549880729996</v>
      </c>
      <c r="O26" s="106" t="s">
        <v>97</v>
      </c>
      <c r="P26" s="110"/>
      <c r="Q26" s="110" t="str">
        <f>LEFT($B$2)&amp;'EB1'!$C$28&amp;$H$2&amp;'EB1'!$I$2</f>
        <v>TTRIELPG</v>
      </c>
      <c r="R26" s="111" t="str">
        <f>$D$2&amp;" "&amp;$C$2&amp; " Sector - "&amp;""&amp;$H$1&amp;" "&amp;'EB1'!$X$27&amp;" - "&amp;'EB1'!$I$3</f>
        <v>Demand Technologies Transport Sector - Existing Motor - LPG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">
      <c r="B27" s="132" t="str">
        <f t="shared" si="14"/>
        <v>TTRIEGSL</v>
      </c>
      <c r="C27" s="133" t="str">
        <f t="shared" si="15"/>
        <v>TRAGSL</v>
      </c>
      <c r="D27" s="134" t="str">
        <f t="shared" si="16"/>
        <v>DTTRI</v>
      </c>
      <c r="E27" s="60">
        <f>('EB1'!J$9*'EB1'!$J$28*F27/(K27*G27))*1.01</f>
        <v>45.155975397136373</v>
      </c>
      <c r="F27" s="146">
        <v>0.69</v>
      </c>
      <c r="G27" s="151">
        <v>22</v>
      </c>
      <c r="H27" s="140">
        <v>2.5</v>
      </c>
      <c r="I27" s="64">
        <v>0.22499999999999998</v>
      </c>
      <c r="J27" s="151">
        <v>10</v>
      </c>
      <c r="K27" s="66">
        <v>1E-3</v>
      </c>
      <c r="M27" s="126">
        <f t="shared" ref="M27" si="17">E27*G27*K27*H27</f>
        <v>2.4835786468425005</v>
      </c>
      <c r="O27" s="106" t="s">
        <v>97</v>
      </c>
      <c r="P27" s="110"/>
      <c r="Q27" s="110" t="str">
        <f>LEFT($B$2)&amp;'EB1'!$C$28&amp;$H$2&amp;'EB1'!$J$2</f>
        <v>TTRIEGSL</v>
      </c>
      <c r="R27" s="110" t="str">
        <f>$D$2&amp;" "&amp;$C$2&amp; " Sector - "&amp;""&amp;$H$1&amp;" "&amp;'EB1'!$X$27&amp;" - "&amp;'EB1'!$J$3</f>
        <v>Demand Technologies Transport Sector - Existing Motor - Motor spirit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">
      <c r="B28" s="135" t="str">
        <f t="shared" ref="B28" si="18">Q28</f>
        <v>TFREEDSL</v>
      </c>
      <c r="C28" s="136" t="str">
        <f t="shared" ref="C28" si="19">$B$2&amp;RIGHT(B28,3)</f>
        <v>TRADSL</v>
      </c>
      <c r="D28" s="138" t="str">
        <f t="shared" ref="D28" si="20">$Q$9</f>
        <v>DTFRE</v>
      </c>
      <c r="E28" s="60">
        <f>('EB1'!G$9*'EB1'!$G$29*F28/(K28*G28))*1.01</f>
        <v>203.52923974162081</v>
      </c>
      <c r="F28" s="144">
        <v>0.27</v>
      </c>
      <c r="G28" s="151">
        <v>50</v>
      </c>
      <c r="H28" s="140">
        <v>1</v>
      </c>
      <c r="I28" s="64">
        <v>0.24</v>
      </c>
      <c r="J28" s="42">
        <v>30</v>
      </c>
      <c r="K28" s="66">
        <v>1E-3</v>
      </c>
      <c r="M28" s="126">
        <f>E28*G28*K28*H28</f>
        <v>10.176461987081041</v>
      </c>
      <c r="O28" s="106" t="s">
        <v>97</v>
      </c>
      <c r="P28" s="110"/>
      <c r="Q28" s="110" t="str">
        <f>LEFT($B$2)&amp;'EB1'!$C$29&amp;$H$2&amp;'EB1'!$G$2</f>
        <v>TFREEDSL</v>
      </c>
      <c r="R28" s="111" t="str">
        <f>$D$2&amp;" "&amp;$C$2&amp; " Sector - "&amp;""&amp;$H$1&amp;" "&amp;'EB1'!$X$27&amp;" - "&amp;'EB1'!$G$3</f>
        <v>Demand Technologies Transport Sector - Existing Motor - Diesel oil</v>
      </c>
      <c r="S28" s="106" t="s">
        <v>178</v>
      </c>
      <c r="T28" s="106" t="str">
        <f t="shared" si="4"/>
        <v>000_Units</v>
      </c>
      <c r="U28" s="110"/>
      <c r="V28" s="106" t="s">
        <v>141</v>
      </c>
      <c r="W28" s="110"/>
    </row>
    <row r="29" spans="2:23" x14ac:dyDescent="0.2">
      <c r="B29" s="135" t="str">
        <f t="shared" ref="B29" si="21">Q29</f>
        <v>TAVIEKER</v>
      </c>
      <c r="C29" s="136" t="str">
        <f t="shared" ref="C29" si="22">$B$2&amp;RIGHT(B29,3)</f>
        <v>TRAKER</v>
      </c>
      <c r="D29" s="138" t="str">
        <f t="shared" ref="D29" si="23">$Q$10</f>
        <v>DTAVI</v>
      </c>
      <c r="E29" s="124">
        <f>('EB1'!H$9*'EB1'!$H$30*F29/(K29*G29))*1.01</f>
        <v>9.067955659199999</v>
      </c>
      <c r="F29" s="141">
        <v>0.3</v>
      </c>
      <c r="G29" s="91">
        <v>100</v>
      </c>
      <c r="H29" s="92">
        <v>1</v>
      </c>
      <c r="I29" s="92">
        <v>0.22499999999999998</v>
      </c>
      <c r="J29" s="42">
        <v>30</v>
      </c>
      <c r="K29" s="94">
        <v>1E-3</v>
      </c>
      <c r="M29" s="125">
        <f t="shared" ref="M29" si="24">E29*G29*K29*H29</f>
        <v>0.90679556591999999</v>
      </c>
      <c r="O29" s="114" t="s">
        <v>97</v>
      </c>
      <c r="P29" s="113"/>
      <c r="Q29" s="123" t="str">
        <f>LEFT($B$2)&amp;'EB1'!$C$30&amp;$H$2&amp;'EB1'!$H$2</f>
        <v>TAVIEKER</v>
      </c>
      <c r="R29" s="113" t="str">
        <f>$D$2&amp;" "&amp;$C$2&amp; " Sector - "&amp;""&amp;$H$1&amp;" "&amp;'EB1'!$X$27&amp;" - "&amp;'EB1'!$H$3</f>
        <v>Demand Technologies Transport Sector - Existing Motor - Kerosenes</v>
      </c>
      <c r="S29" s="114" t="s">
        <v>178</v>
      </c>
      <c r="T29" s="114" t="str">
        <f t="shared" si="4"/>
        <v>000_Units</v>
      </c>
      <c r="U29" s="113"/>
      <c r="V29" s="114" t="s">
        <v>141</v>
      </c>
      <c r="W29" s="113"/>
    </row>
    <row r="30" spans="2:23" x14ac:dyDescent="0.2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2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0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">
      <c r="B34" s="42"/>
      <c r="C34" s="1" t="s">
        <v>154</v>
      </c>
      <c r="K34" s="1"/>
      <c r="L34" s="1"/>
      <c r="M34" s="1"/>
    </row>
    <row r="35" spans="2:14" x14ac:dyDescent="0.2">
      <c r="B35" s="61"/>
      <c r="C35" s="1" t="s">
        <v>155</v>
      </c>
      <c r="K35" s="1"/>
      <c r="L35" s="1"/>
      <c r="M35" s="1"/>
      <c r="N35" s="1"/>
    </row>
    <row r="36" spans="2:14" x14ac:dyDescent="0.2">
      <c r="K36" s="1"/>
      <c r="L36" s="1"/>
      <c r="M36" s="1"/>
      <c r="N36" s="1"/>
    </row>
    <row r="37" spans="2:14" x14ac:dyDescent="0.2">
      <c r="K37" s="1"/>
      <c r="L37" s="1"/>
      <c r="M37" s="1"/>
      <c r="N37" s="1"/>
    </row>
    <row r="38" spans="2:14" x14ac:dyDescent="0.2">
      <c r="E38" s="1"/>
      <c r="N38" s="1"/>
    </row>
    <row r="39" spans="2:14" x14ac:dyDescent="0.2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15" sqref="E15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3.140625" bestFit="1" customWidth="1"/>
    <col min="8" max="8" width="13.5703125" customWidth="1"/>
    <col min="9" max="9" width="5" bestFit="1" customWidth="1"/>
  </cols>
  <sheetData>
    <row r="1" spans="2:10" ht="15" x14ac:dyDescent="0.2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75" x14ac:dyDescent="0.25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2.5" x14ac:dyDescent="0.2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5" thickBot="1" x14ac:dyDescent="0.25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13.708670460671701</v>
      </c>
      <c r="G9" s="1" t="s">
        <v>120</v>
      </c>
      <c r="H9" t="str">
        <f>DemTechs_TRA!$Q$5</f>
        <v>DTCAR</v>
      </c>
      <c r="I9" s="152" t="s">
        <v>193</v>
      </c>
      <c r="J9" s="42">
        <v>0.4</v>
      </c>
    </row>
    <row r="10" spans="2:10" x14ac:dyDescent="0.2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2" t="s">
        <v>194</v>
      </c>
      <c r="J10" s="42">
        <v>0.15</v>
      </c>
    </row>
    <row r="11" spans="2:10" x14ac:dyDescent="0.2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22.676152862475007</v>
      </c>
      <c r="G11" s="1" t="s">
        <v>120</v>
      </c>
      <c r="H11" t="str">
        <f>DemTechs_TRA!$Q$5</f>
        <v>DTCAR</v>
      </c>
      <c r="I11" s="152" t="s">
        <v>195</v>
      </c>
      <c r="J11" s="42">
        <v>0.35</v>
      </c>
    </row>
    <row r="12" spans="2:10" x14ac:dyDescent="0.2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3" t="s">
        <v>196</v>
      </c>
      <c r="J12" s="93">
        <v>0.1</v>
      </c>
    </row>
    <row r="13" spans="2:10" x14ac:dyDescent="0.2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2" t="s">
        <v>193</v>
      </c>
      <c r="J13" s="42">
        <v>0.48</v>
      </c>
    </row>
    <row r="14" spans="2:10" x14ac:dyDescent="0.2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0.90679556591999999</v>
      </c>
      <c r="G14" s="1" t="s">
        <v>120</v>
      </c>
      <c r="H14" t="str">
        <f>DemTechs_TRA!$Q$6</f>
        <v>DTPUB</v>
      </c>
      <c r="I14" s="152" t="s">
        <v>194</v>
      </c>
      <c r="J14" s="42">
        <v>0.04</v>
      </c>
    </row>
    <row r="15" spans="2:10" x14ac:dyDescent="0.2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1.2681775332</v>
      </c>
      <c r="G15" s="1" t="s">
        <v>120</v>
      </c>
      <c r="H15" t="str">
        <f>DemTechs_TRA!$Q$6</f>
        <v>DTPUB</v>
      </c>
      <c r="I15" s="152" t="s">
        <v>195</v>
      </c>
      <c r="J15" s="42">
        <v>0.45</v>
      </c>
    </row>
    <row r="16" spans="2:10" x14ac:dyDescent="0.2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1.794790473912</v>
      </c>
      <c r="G16" s="25" t="s">
        <v>120</v>
      </c>
      <c r="H16" s="6" t="str">
        <f>DemTechs_TRA!$Q$6</f>
        <v>DTPUB</v>
      </c>
      <c r="I16" s="153" t="s">
        <v>196</v>
      </c>
      <c r="J16" s="93">
        <v>0.03</v>
      </c>
    </row>
    <row r="17" spans="2:10" x14ac:dyDescent="0.2">
      <c r="G17" s="1" t="s">
        <v>120</v>
      </c>
      <c r="H17" t="str">
        <f>DemTechs_TRA!$Q$7</f>
        <v>DTMOT</v>
      </c>
      <c r="I17" s="152" t="s">
        <v>193</v>
      </c>
      <c r="J17" s="42">
        <v>0.4</v>
      </c>
    </row>
    <row r="18" spans="2:10" x14ac:dyDescent="0.2">
      <c r="G18" s="1" t="s">
        <v>120</v>
      </c>
      <c r="H18" t="str">
        <f>DemTechs_TRA!$Q$7</f>
        <v>DTMOT</v>
      </c>
      <c r="I18" s="152" t="s">
        <v>194</v>
      </c>
      <c r="J18" s="42">
        <v>0.15</v>
      </c>
    </row>
    <row r="19" spans="2:10" x14ac:dyDescent="0.2">
      <c r="G19" s="1" t="s">
        <v>120</v>
      </c>
      <c r="H19" t="str">
        <f>DemTechs_TRA!$Q$7</f>
        <v>DTMOT</v>
      </c>
      <c r="I19" s="152" t="s">
        <v>195</v>
      </c>
      <c r="J19" s="42">
        <v>0.35</v>
      </c>
    </row>
    <row r="20" spans="2:10" x14ac:dyDescent="0.2">
      <c r="G20" s="25" t="s">
        <v>120</v>
      </c>
      <c r="H20" s="6" t="str">
        <f>DemTechs_TRA!$Q$7</f>
        <v>DTMOT</v>
      </c>
      <c r="I20" s="153" t="s">
        <v>196</v>
      </c>
      <c r="J20" s="93">
        <v>0.1</v>
      </c>
    </row>
    <row r="21" spans="2:10" x14ac:dyDescent="0.2">
      <c r="G21" s="1" t="s">
        <v>120</v>
      </c>
      <c r="H21" t="str">
        <f>DemTechs_TRA!$Q$8</f>
        <v>DTTRI</v>
      </c>
      <c r="I21" s="152" t="s">
        <v>193</v>
      </c>
      <c r="J21" s="42">
        <v>0.35</v>
      </c>
    </row>
    <row r="22" spans="2:10" x14ac:dyDescent="0.2">
      <c r="G22" s="1" t="s">
        <v>120</v>
      </c>
      <c r="H22" t="str">
        <f>DemTechs_TRA!$Q$8</f>
        <v>DTTRI</v>
      </c>
      <c r="I22" s="152" t="s">
        <v>194</v>
      </c>
      <c r="J22" s="42">
        <v>0.18</v>
      </c>
    </row>
    <row r="23" spans="2:10" x14ac:dyDescent="0.2">
      <c r="G23" s="1" t="s">
        <v>120</v>
      </c>
      <c r="H23" t="str">
        <f>DemTechs_TRA!$Q$8</f>
        <v>DTTRI</v>
      </c>
      <c r="I23" s="152" t="s">
        <v>195</v>
      </c>
      <c r="J23" s="42">
        <v>0.35</v>
      </c>
    </row>
    <row r="24" spans="2:10" x14ac:dyDescent="0.2">
      <c r="G24" s="25" t="s">
        <v>120</v>
      </c>
      <c r="H24" s="6" t="str">
        <f>DemTechs_TRA!$Q$8</f>
        <v>DTTRI</v>
      </c>
      <c r="I24" s="153" t="s">
        <v>196</v>
      </c>
      <c r="J24" s="93">
        <v>0.12</v>
      </c>
    </row>
    <row r="25" spans="2:10" x14ac:dyDescent="0.2">
      <c r="G25" s="1" t="s">
        <v>120</v>
      </c>
      <c r="H25" t="str">
        <f>DemTechs_TRA!$Q$9</f>
        <v>DTFRE</v>
      </c>
      <c r="I25" s="152" t="s">
        <v>193</v>
      </c>
      <c r="J25" s="42">
        <v>0.2</v>
      </c>
    </row>
    <row r="26" spans="2:10" x14ac:dyDescent="0.2">
      <c r="B26" s="42"/>
      <c r="C26" s="1" t="s">
        <v>154</v>
      </c>
      <c r="G26" s="1" t="s">
        <v>120</v>
      </c>
      <c r="H26" t="str">
        <f>DemTechs_TRA!$Q$9</f>
        <v>DTFRE</v>
      </c>
      <c r="I26" s="152" t="s">
        <v>194</v>
      </c>
      <c r="J26" s="42">
        <v>0.32</v>
      </c>
    </row>
    <row r="27" spans="2:10" x14ac:dyDescent="0.2">
      <c r="B27" s="61"/>
      <c r="C27" s="1" t="s">
        <v>155</v>
      </c>
      <c r="G27" s="1" t="s">
        <v>120</v>
      </c>
      <c r="H27" t="str">
        <f>DemTechs_TRA!$Q$9</f>
        <v>DTFRE</v>
      </c>
      <c r="I27" s="152" t="s">
        <v>195</v>
      </c>
      <c r="J27" s="42">
        <v>0.18</v>
      </c>
    </row>
    <row r="28" spans="2:10" x14ac:dyDescent="0.2">
      <c r="G28" s="25" t="s">
        <v>120</v>
      </c>
      <c r="H28" s="6" t="str">
        <f>DemTechs_TRA!$Q$9</f>
        <v>DTFRE</v>
      </c>
      <c r="I28" s="153" t="s">
        <v>196</v>
      </c>
      <c r="J28" s="93">
        <v>0.3</v>
      </c>
    </row>
    <row r="29" spans="2:10" x14ac:dyDescent="0.2">
      <c r="G29" s="1" t="s">
        <v>120</v>
      </c>
      <c r="H29" t="str">
        <f>DemTechs_TRA!$Q$10</f>
        <v>DTAVI</v>
      </c>
      <c r="I29" s="152" t="s">
        <v>193</v>
      </c>
      <c r="J29" s="42">
        <v>0.42</v>
      </c>
    </row>
    <row r="30" spans="2:10" x14ac:dyDescent="0.2">
      <c r="G30" s="1" t="s">
        <v>120</v>
      </c>
      <c r="H30" t="str">
        <f>DemTechs_TRA!$Q$10</f>
        <v>DTAVI</v>
      </c>
      <c r="I30" s="152" t="s">
        <v>194</v>
      </c>
      <c r="J30" s="42">
        <v>0.12</v>
      </c>
    </row>
    <row r="31" spans="2:10" x14ac:dyDescent="0.2">
      <c r="G31" s="1" t="s">
        <v>120</v>
      </c>
      <c r="H31" t="str">
        <f>DemTechs_TRA!$Q$10</f>
        <v>DTAVI</v>
      </c>
      <c r="I31" s="152" t="s">
        <v>195</v>
      </c>
      <c r="J31" s="42">
        <v>0.36</v>
      </c>
    </row>
    <row r="32" spans="2:10" x14ac:dyDescent="0.2">
      <c r="G32" s="25" t="s">
        <v>120</v>
      </c>
      <c r="H32" s="6" t="str">
        <f>DemTechs_TRA!$Q$10</f>
        <v>DTAVI</v>
      </c>
      <c r="I32" s="153" t="s">
        <v>196</v>
      </c>
      <c r="J32" s="93">
        <v>0.1</v>
      </c>
    </row>
    <row r="33" spans="7:10" x14ac:dyDescent="0.2">
      <c r="G33" s="1" t="s">
        <v>120</v>
      </c>
      <c r="H33" t="str">
        <f>DemTechs_TRA!$Q$11</f>
        <v>DTRAI</v>
      </c>
      <c r="I33" s="152" t="s">
        <v>193</v>
      </c>
      <c r="J33" s="42">
        <v>0.5</v>
      </c>
    </row>
    <row r="34" spans="7:10" x14ac:dyDescent="0.2">
      <c r="G34" s="1" t="s">
        <v>120</v>
      </c>
      <c r="H34" t="str">
        <f>DemTechs_TRA!$Q$11</f>
        <v>DTRAI</v>
      </c>
      <c r="I34" s="152" t="s">
        <v>194</v>
      </c>
      <c r="J34" s="42">
        <v>0</v>
      </c>
    </row>
    <row r="35" spans="7:10" x14ac:dyDescent="0.2">
      <c r="G35" s="1" t="s">
        <v>120</v>
      </c>
      <c r="H35" t="str">
        <f>DemTechs_TRA!$Q$11</f>
        <v>DTRAI</v>
      </c>
      <c r="I35" s="152" t="s">
        <v>195</v>
      </c>
      <c r="J35" s="42">
        <v>0.5</v>
      </c>
    </row>
    <row r="36" spans="7:10" x14ac:dyDescent="0.2">
      <c r="G36" s="25" t="s">
        <v>120</v>
      </c>
      <c r="H36" s="6" t="str">
        <f>DemTechs_TRA!$Q$11</f>
        <v>DTRAI</v>
      </c>
      <c r="I36" s="153" t="s">
        <v>196</v>
      </c>
      <c r="J36" s="93">
        <v>0</v>
      </c>
    </row>
    <row r="37" spans="7:10" x14ac:dyDescent="0.2">
      <c r="G37" s="1" t="s">
        <v>120</v>
      </c>
      <c r="H37" t="str">
        <f>DemTechs_TRA!$Q$12</f>
        <v>DTMAR</v>
      </c>
      <c r="I37" s="152" t="s">
        <v>193</v>
      </c>
      <c r="J37" s="42">
        <v>0.23</v>
      </c>
    </row>
    <row r="38" spans="7:10" x14ac:dyDescent="0.2">
      <c r="G38" s="1" t="s">
        <v>120</v>
      </c>
      <c r="H38" t="str">
        <f>DemTechs_TRA!$Q$12</f>
        <v>DTMAR</v>
      </c>
      <c r="I38" s="152" t="s">
        <v>194</v>
      </c>
      <c r="J38" s="42">
        <v>0.22</v>
      </c>
    </row>
    <row r="39" spans="7:10" x14ac:dyDescent="0.2">
      <c r="G39" s="1" t="s">
        <v>120</v>
      </c>
      <c r="H39" t="str">
        <f>DemTechs_TRA!$Q$12</f>
        <v>DTMAR</v>
      </c>
      <c r="I39" s="152" t="s">
        <v>195</v>
      </c>
      <c r="J39" s="42">
        <v>0.28000000000000003</v>
      </c>
    </row>
    <row r="40" spans="7:10" x14ac:dyDescent="0.2">
      <c r="G40" s="25" t="s">
        <v>120</v>
      </c>
      <c r="H40" s="6" t="str">
        <f>DemTechs_TRA!$Q$12</f>
        <v>DTMAR</v>
      </c>
      <c r="I40" s="153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2.75" x14ac:dyDescent="0.2"/>
  <cols>
    <col min="2" max="2" width="14.42578125" customWidth="1"/>
  </cols>
  <sheetData>
    <row r="3" spans="2:12" ht="17.45" customHeight="1" x14ac:dyDescent="0.25">
      <c r="B3" s="32" t="s">
        <v>145</v>
      </c>
      <c r="C3" s="32"/>
      <c r="D3" s="32"/>
      <c r="E3" s="32"/>
      <c r="F3" s="32"/>
      <c r="G3" s="32"/>
      <c r="H3" s="32"/>
    </row>
    <row r="4" spans="2:12" ht="17.45" customHeight="1" x14ac:dyDescent="0.25">
      <c r="B4" s="33"/>
      <c r="C4" s="33"/>
      <c r="D4" s="33"/>
      <c r="E4" s="33"/>
      <c r="F4" s="33"/>
      <c r="G4" s="33"/>
    </row>
    <row r="5" spans="2:12" ht="18" x14ac:dyDescent="0.25">
      <c r="B5" s="30" t="s">
        <v>146</v>
      </c>
      <c r="C5" s="31"/>
    </row>
    <row r="6" spans="2:12" ht="13.5" thickBot="1" x14ac:dyDescent="0.25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5" thickBot="1" x14ac:dyDescent="0.25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">
      <c r="L10" s="1"/>
    </row>
    <row r="23" spans="2:3" x14ac:dyDescent="0.2">
      <c r="B23" s="42"/>
      <c r="C23" s="1" t="s">
        <v>154</v>
      </c>
    </row>
    <row r="24" spans="2:3" x14ac:dyDescent="0.2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2026-10-15T09:34:44Z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