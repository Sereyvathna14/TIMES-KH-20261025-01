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1110\"/>
    </mc:Choice>
  </mc:AlternateContent>
  <xr:revisionPtr revIDLastSave="0" documentId="13_ncr:1_{3DBEF61F-7A50-4423-A884-6DAEA1AFEF42}" xr6:coauthVersionLast="47" xr6:coauthVersionMax="47" xr10:uidLastSave="{00000000-0000-0000-0000-000000000000}"/>
  <bookViews>
    <workbookView xWindow="-108" yWindow="-108" windowWidth="23256" windowHeight="12576" tabRatio="853" activeTab="4" xr2:uid="{00000000-000D-0000-FFFF-FFFF00000000}"/>
  </bookViews>
  <sheets>
    <sheet name="Region-Time Slices" sheetId="16" r:id="rId1"/>
    <sheet name="TimePeriods" sheetId="18" r:id="rId2"/>
    <sheet name="Import Settings" sheetId="17" r:id="rId3"/>
    <sheet name="Interpol_Extrapol_Defaults" sheetId="14" r:id="rId4"/>
    <sheet name="Constants" sheetId="20" r:id="rId5"/>
    <sheet name="Defaults" sheetId="21" r:id="rId6"/>
    <sheet name="Commodity Group" sheetId="15" r:id="rId7"/>
  </sheets>
  <externalReferences>
    <externalReference r:id="rId8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F18" i="20" l="1"/>
  <c r="F17" i="20"/>
  <c r="F16" i="20"/>
  <c r="F15" i="20"/>
  <c r="F14" i="20"/>
  <c r="F13" i="20"/>
  <c r="F35" i="20" l="1"/>
  <c r="F34" i="20"/>
  <c r="D31" i="20"/>
  <c r="E30" i="20" s="1"/>
  <c r="E25" i="20" l="1"/>
  <c r="E11" i="20" s="1"/>
  <c r="F25" i="20"/>
  <c r="E12" i="20" s="1"/>
  <c r="E29" i="20"/>
  <c r="E31" i="20" s="1"/>
  <c r="C25" i="20" l="1"/>
  <c r="E9" i="20" s="1"/>
  <c r="D25" i="20"/>
  <c r="E10" i="20" s="1"/>
  <c r="G25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6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Possible definitions
</t>
        </r>
        <r>
          <rPr>
            <b/>
            <sz val="8"/>
            <color indexed="81"/>
            <rFont val="Tahoma"/>
            <family val="2"/>
          </rPr>
          <t xml:space="preserve">Y </t>
        </r>
        <r>
          <rPr>
            <sz val="8"/>
            <color indexed="81"/>
            <rFont val="Tahoma"/>
            <family val="2"/>
          </rPr>
          <t xml:space="preserve">or a </t>
        </r>
        <r>
          <rPr>
            <b/>
            <sz val="8"/>
            <color indexed="81"/>
            <rFont val="Tahoma"/>
            <family val="2"/>
          </rPr>
          <t>positive number</t>
        </r>
        <r>
          <rPr>
            <sz val="8"/>
            <color indexed="81"/>
            <rFont val="Tahoma"/>
            <family val="2"/>
          </rPr>
          <t xml:space="preserve"> (mean apply this User CG in that region)
Empty mean this User CG is not applied in that region</t>
        </r>
      </text>
    </comment>
  </commentList>
</comments>
</file>

<file path=xl/sharedStrings.xml><?xml version="1.0" encoding="utf-8"?>
<sst xmlns="http://schemas.openxmlformats.org/spreadsheetml/2006/main" count="164" uniqueCount="103">
  <si>
    <t>~TFM_UPD</t>
  </si>
  <si>
    <t>IMP*Z</t>
  </si>
  <si>
    <t>AllRegions</t>
  </si>
  <si>
    <t>Other_Indexes</t>
  </si>
  <si>
    <t>ACTCOST</t>
  </si>
  <si>
    <t>IMPDEMZ</t>
  </si>
  <si>
    <t>User-Defined CG</t>
  </si>
  <si>
    <t>~TFM_COMGRP</t>
  </si>
  <si>
    <t>Name</t>
  </si>
  <si>
    <t>Description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</si>
  <si>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</si>
  <si>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</si>
  <si>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</si>
  <si>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</si>
  <si>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</si>
  <si>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</si>
  <si>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</si>
  <si>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</si>
  <si>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</si>
  <si>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</si>
  <si>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</si>
  <si>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</si>
  <si>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</si>
  <si>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</si>
  <si>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</si>
  <si>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</si>
  <si>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</si>
  <si>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</si>
  <si>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</si>
  <si>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</si>
  <si>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</si>
  <si>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</si>
  <si>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~ImpSettings</t>
  </si>
  <si>
    <t>Option</t>
  </si>
  <si>
    <t>Value</t>
  </si>
  <si>
    <t>Check #DIV/0 and #REF errors in Templates</t>
  </si>
  <si>
    <t>Create Dummy Imports for Energy and Material Commodities</t>
  </si>
  <si>
    <t>Create Dummy Imports for Demands</t>
  </si>
  <si>
    <t>Generate Vintage Bounds</t>
  </si>
  <si>
    <t>~StartYear</t>
  </si>
  <si>
    <t>~ActivePDef</t>
  </si>
  <si>
    <t>Pdef-1</t>
  </si>
  <si>
    <t>* Define the explicit commodity groups needed</t>
  </si>
  <si>
    <t>\I:Commodity Group Name</t>
  </si>
  <si>
    <t>Commodity Group Description</t>
  </si>
  <si>
    <t>Dummy Imp Prices</t>
  </si>
  <si>
    <t>*Set a default price or apply a factor for those IMPorts with "Z" in the name.</t>
  </si>
  <si>
    <t>Discount</t>
  </si>
  <si>
    <t>* Define constants for the model</t>
  </si>
  <si>
    <t>~Currencies</t>
  </si>
  <si>
    <t>Currency</t>
  </si>
  <si>
    <t>~DefUnits</t>
  </si>
  <si>
    <t>Process_ActUnit</t>
  </si>
  <si>
    <t>Process_CapUnit</t>
  </si>
  <si>
    <t>Commodity_Unit</t>
  </si>
  <si>
    <t>REG1</t>
  </si>
  <si>
    <t>YRFR</t>
  </si>
  <si>
    <t>G_DYEAR</t>
  </si>
  <si>
    <t>PJ</t>
  </si>
  <si>
    <t>PRI</t>
  </si>
  <si>
    <t>Pja</t>
  </si>
  <si>
    <t>COM_IE</t>
  </si>
  <si>
    <t>ELC</t>
  </si>
  <si>
    <t>Time slices</t>
  </si>
  <si>
    <t>Seasons</t>
  </si>
  <si>
    <t>N. of Days</t>
  </si>
  <si>
    <t>Fraction</t>
  </si>
  <si>
    <t>S</t>
  </si>
  <si>
    <t xml:space="preserve">W </t>
  </si>
  <si>
    <t>Day</t>
  </si>
  <si>
    <t>Night</t>
  </si>
  <si>
    <t>D</t>
  </si>
  <si>
    <t>N</t>
  </si>
  <si>
    <t>REG2</t>
  </si>
  <si>
    <t>Pdef-5</t>
  </si>
  <si>
    <t>DumVarforUC</t>
  </si>
  <si>
    <t>UP</t>
  </si>
  <si>
    <t>ACT_BND</t>
  </si>
  <si>
    <t>Share-O</t>
  </si>
  <si>
    <t>Share-I</t>
  </si>
  <si>
    <t>GW</t>
  </si>
  <si>
    <t>IND</t>
  </si>
  <si>
    <t>RCA</t>
  </si>
  <si>
    <t>TRA</t>
  </si>
  <si>
    <t>kPk</t>
  </si>
  <si>
    <t>000_Units</t>
  </si>
  <si>
    <t>chkDoTAGSQC</t>
  </si>
  <si>
    <t>UseSQLDatabase</t>
  </si>
  <si>
    <t>~TFM_MIG</t>
  </si>
  <si>
    <t>Year2</t>
  </si>
  <si>
    <t>Pdef-8</t>
  </si>
  <si>
    <t>MUSD21</t>
  </si>
  <si>
    <t>R</t>
  </si>
  <si>
    <t>DD</t>
  </si>
  <si>
    <t>DN</t>
  </si>
  <si>
    <t>RD</t>
  </si>
  <si>
    <t>RN</t>
  </si>
  <si>
    <t>Dry Day</t>
  </si>
  <si>
    <t>Dry Night</t>
  </si>
  <si>
    <t>Rainy Day</t>
  </si>
  <si>
    <t>Rainy Night</t>
  </si>
  <si>
    <t>Dry</t>
  </si>
  <si>
    <t>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</si>
</sst>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"/>
  </numFmts>
  <fonts count="16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4" fillId="0" borderId="0" applyFont="0" applyFill="0" applyBorder="0" applyAlignment="0" applyProtection="0"/>
    <xf numFmtId="0" fontId="5" fillId="0" borderId="0"/>
    <xf numFmtId="0" fontId="5" fillId="0" borderId="0"/>
    <xf numFmtId="0" fontId="8" fillId="0" borderId="0"/>
    <xf numFmtId="0" fontId="5" fillId="0" borderId="0"/>
  </cellStyleXfs>
  <cellXfs count="70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5" fillId="4" borderId="1" xfId="0" applyFont="1" applyFill="1" applyBorder="1"/>
    <xf numFmtId="0" fontId="9" fillId="0" borderId="0" xfId="0" applyFont="1"/>
    <xf numFmtId="0" fontId="6" fillId="0" borderId="0" xfId="0" applyFont="1"/>
    <xf numFmtId="0" fontId="10" fillId="5" borderId="0" xfId="0" applyFont="1" applyFill="1" applyAlignment="1">
      <alignment horizontal="left"/>
    </xf>
    <xf numFmtId="0" fontId="1" fillId="6" borderId="1" xfId="2" applyFont="1" applyFill="1" applyBorder="1" applyAlignment="1">
      <alignment horizontal="center" wrapText="1"/>
    </xf>
    <xf numFmtId="0" fontId="2" fillId="0" borderId="0" xfId="2" applyFont="1"/>
    <xf numFmtId="0" fontId="5" fillId="0" borderId="0" xfId="2"/>
    <xf numFmtId="0" fontId="0" fillId="2" borderId="1" xfId="0" applyFill="1" applyBorder="1"/>
    <xf numFmtId="0" fontId="15" fillId="0" borderId="0" xfId="0" applyFont="1"/>
    <xf numFmtId="0" fontId="1" fillId="7" borderId="2" xfId="0" applyFont="1" applyFill="1" applyBorder="1"/>
    <xf numFmtId="0" fontId="0" fillId="8" borderId="0" xfId="0" applyFill="1"/>
    <xf numFmtId="0" fontId="5" fillId="0" borderId="0" xfId="0" applyFont="1"/>
    <xf numFmtId="2" fontId="5" fillId="0" borderId="0" xfId="2" applyNumberFormat="1"/>
    <xf numFmtId="0" fontId="5" fillId="9" borderId="1" xfId="0" applyFont="1" applyFill="1" applyBorder="1"/>
    <xf numFmtId="0" fontId="10" fillId="5" borderId="0" xfId="3" applyFont="1" applyFill="1"/>
    <xf numFmtId="0" fontId="11" fillId="5" borderId="0" xfId="3" applyFont="1" applyFill="1"/>
    <xf numFmtId="0" fontId="5" fillId="0" borderId="0" xfId="3"/>
    <xf numFmtId="0" fontId="4" fillId="0" borderId="0" xfId="2" applyFont="1" applyAlignment="1">
      <alignment horizontal="right"/>
    </xf>
    <xf numFmtId="0" fontId="12" fillId="4" borderId="3" xfId="2" applyFont="1" applyFill="1" applyBorder="1" applyAlignment="1">
      <alignment horizontal="left" vertical="center" wrapText="1"/>
    </xf>
    <xf numFmtId="0" fontId="12" fillId="4" borderId="4" xfId="2" applyFont="1" applyFill="1" applyBorder="1" applyAlignment="1">
      <alignment horizontal="center"/>
    </xf>
    <xf numFmtId="0" fontId="12" fillId="4" borderId="5" xfId="2" applyFont="1" applyFill="1" applyBorder="1" applyAlignment="1">
      <alignment horizontal="center"/>
    </xf>
    <xf numFmtId="0" fontId="12" fillId="4" borderId="6" xfId="2" applyFont="1" applyFill="1" applyBorder="1" applyAlignment="1">
      <alignment horizontal="center"/>
    </xf>
    <xf numFmtId="0" fontId="12" fillId="10" borderId="7" xfId="2" applyFont="1" applyFill="1" applyBorder="1" applyAlignment="1">
      <alignment horizontal="left" vertical="center" wrapText="1"/>
    </xf>
    <xf numFmtId="0" fontId="12" fillId="4" borderId="4" xfId="2" applyFont="1" applyFill="1" applyBorder="1" applyAlignment="1">
      <alignment horizontal="center" wrapText="1"/>
    </xf>
    <xf numFmtId="0" fontId="12" fillId="4" borderId="5" xfId="2" applyFont="1" applyFill="1" applyBorder="1" applyAlignment="1">
      <alignment horizontal="center" wrapText="1"/>
    </xf>
    <xf numFmtId="0" fontId="12" fillId="4" borderId="6" xfId="2" applyFont="1" applyFill="1" applyBorder="1" applyAlignment="1">
      <alignment horizontal="center" wrapText="1"/>
    </xf>
    <xf numFmtId="165" fontId="13" fillId="4" borderId="2" xfId="2" applyNumberFormat="1" applyFont="1" applyFill="1" applyBorder="1" applyAlignment="1">
      <alignment horizontal="center"/>
    </xf>
    <xf numFmtId="165" fontId="13" fillId="4" borderId="8" xfId="2" applyNumberFormat="1" applyFont="1" applyFill="1" applyBorder="1" applyAlignment="1">
      <alignment horizontal="center"/>
    </xf>
    <xf numFmtId="165" fontId="13" fillId="4" borderId="9" xfId="2" applyNumberFormat="1" applyFont="1" applyFill="1" applyBorder="1" applyAlignment="1">
      <alignment horizontal="center"/>
    </xf>
    <xf numFmtId="165" fontId="5" fillId="0" borderId="0" xfId="2" applyNumberFormat="1"/>
    <xf numFmtId="0" fontId="13" fillId="0" borderId="0" xfId="2" applyFont="1"/>
    <xf numFmtId="0" fontId="12" fillId="0" borderId="0" xfId="2" applyFont="1"/>
    <xf numFmtId="0" fontId="12" fillId="4" borderId="3" xfId="2" applyFont="1" applyFill="1" applyBorder="1" applyAlignment="1">
      <alignment horizontal="left"/>
    </xf>
    <xf numFmtId="0" fontId="12" fillId="4" borderId="9" xfId="2" quotePrefix="1" applyFont="1" applyFill="1" applyBorder="1" applyAlignment="1">
      <alignment horizontal="center"/>
    </xf>
    <xf numFmtId="0" fontId="12" fillId="4" borderId="9" xfId="2" applyFont="1" applyFill="1" applyBorder="1" applyAlignment="1">
      <alignment horizontal="center"/>
    </xf>
    <xf numFmtId="0" fontId="12" fillId="0" borderId="10" xfId="2" quotePrefix="1" applyFont="1" applyBorder="1" applyAlignment="1">
      <alignment horizontal="center"/>
    </xf>
    <xf numFmtId="0" fontId="12" fillId="4" borderId="11" xfId="2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3" fillId="4" borderId="7" xfId="2" applyFont="1" applyFill="1" applyBorder="1" applyAlignment="1">
      <alignment horizontal="center"/>
    </xf>
    <xf numFmtId="2" fontId="13" fillId="4" borderId="10" xfId="2" applyNumberFormat="1" applyFont="1" applyFill="1" applyBorder="1" applyAlignment="1">
      <alignment horizontal="center"/>
    </xf>
    <xf numFmtId="0" fontId="13" fillId="0" borderId="10" xfId="2" quotePrefix="1" applyFont="1" applyBorder="1" applyAlignment="1">
      <alignment horizontal="center"/>
    </xf>
    <xf numFmtId="0" fontId="12" fillId="4" borderId="12" xfId="2" applyFont="1" applyFill="1" applyBorder="1" applyAlignment="1">
      <alignment horizontal="left"/>
    </xf>
    <xf numFmtId="0" fontId="12" fillId="4" borderId="13" xfId="2" applyFont="1" applyFill="1" applyBorder="1" applyAlignment="1">
      <alignment horizontal="center"/>
    </xf>
    <xf numFmtId="0" fontId="13" fillId="4" borderId="12" xfId="2" applyFont="1" applyFill="1" applyBorder="1" applyAlignment="1">
      <alignment horizontal="center"/>
    </xf>
    <xf numFmtId="2" fontId="13" fillId="4" borderId="14" xfId="2" applyNumberFormat="1" applyFont="1" applyFill="1" applyBorder="1" applyAlignment="1">
      <alignment horizontal="center"/>
    </xf>
    <xf numFmtId="1" fontId="13" fillId="0" borderId="0" xfId="2" applyNumberFormat="1" applyFont="1" applyAlignment="1">
      <alignment horizontal="center"/>
    </xf>
    <xf numFmtId="2" fontId="13" fillId="0" borderId="0" xfId="2" applyNumberFormat="1" applyFont="1" applyAlignment="1">
      <alignment horizontal="center"/>
    </xf>
    <xf numFmtId="0" fontId="13" fillId="0" borderId="0" xfId="2" applyFont="1" applyAlignment="1">
      <alignment horizontal="center"/>
    </xf>
    <xf numFmtId="2" fontId="13" fillId="0" borderId="0" xfId="2" applyNumberFormat="1" applyFont="1" applyAlignment="1">
      <alignment horizontal="right"/>
    </xf>
    <xf numFmtId="0" fontId="12" fillId="0" borderId="15" xfId="2" applyFont="1" applyBorder="1"/>
    <xf numFmtId="0" fontId="12" fillId="4" borderId="2" xfId="2" applyFont="1" applyFill="1" applyBorder="1" applyAlignment="1">
      <alignment horizontal="center"/>
    </xf>
    <xf numFmtId="0" fontId="12" fillId="0" borderId="0" xfId="2" applyFont="1" applyAlignment="1">
      <alignment horizontal="center"/>
    </xf>
    <xf numFmtId="0" fontId="12" fillId="4" borderId="10" xfId="2" applyFont="1" applyFill="1" applyBorder="1" applyAlignment="1">
      <alignment horizontal="center"/>
    </xf>
    <xf numFmtId="0" fontId="13" fillId="4" borderId="4" xfId="2" applyFont="1" applyFill="1" applyBorder="1" applyAlignment="1">
      <alignment horizontal="center"/>
    </xf>
    <xf numFmtId="0" fontId="13" fillId="4" borderId="6" xfId="2" applyFont="1" applyFill="1" applyBorder="1" applyAlignment="1">
      <alignment horizontal="center"/>
    </xf>
    <xf numFmtId="0" fontId="12" fillId="4" borderId="14" xfId="2" applyFont="1" applyFill="1" applyBorder="1" applyAlignment="1">
      <alignment horizontal="center"/>
    </xf>
    <xf numFmtId="0" fontId="13" fillId="4" borderId="14" xfId="2" applyFont="1" applyFill="1" applyBorder="1" applyAlignment="1">
      <alignment horizontal="center"/>
    </xf>
    <xf numFmtId="0" fontId="13" fillId="4" borderId="15" xfId="2" applyFont="1" applyFill="1" applyBorder="1" applyAlignment="1">
      <alignment horizontal="center"/>
    </xf>
    <xf numFmtId="0" fontId="1" fillId="7" borderId="16" xfId="0" applyFont="1" applyFill="1" applyBorder="1"/>
    <xf numFmtId="0" fontId="5" fillId="8" borderId="0" xfId="0" applyFont="1" applyFill="1"/>
    <xf numFmtId="0" fontId="5" fillId="3" borderId="0" xfId="0" applyFont="1" applyFill="1"/>
    <xf numFmtId="0" fontId="0" fillId="7" borderId="2" xfId="0" applyFill="1" applyBorder="1"/>
    <xf numFmtId="0" fontId="0" fillId="7" borderId="8" xfId="0" applyFill="1" applyBorder="1"/>
    <xf numFmtId="0" fontId="0" fillId="7" borderId="9" xfId="0" applyFill="1" applyBorder="1"/>
    <xf numFmtId="1" fontId="5" fillId="0" borderId="0" xfId="2" applyNumberFormat="1"/>
  </cellXfs>
  <cellStyles count="6">
    <cellStyle name="Migliaia_tab emissioni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e_B2020" xfId="4" xr:uid="{00000000-0005-0000-0000-000004000000}"/>
    <cellStyle name="Standard_Sce_D_Extraction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9</xdr:row>
      <xdr:rowOff>28575</xdr:rowOff>
    </xdr:from>
    <xdr:to>
      <xdr:col>5</xdr:col>
      <xdr:colOff>590550</xdr:colOff>
      <xdr:row>16</xdr:row>
      <xdr:rowOff>102885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3E54E7-D5D1-46F7-B99A-5D947163DCDD}"/>
            </a:ext>
          </a:extLst>
        </xdr:cNvPr>
        <xdr:cNvSpPr txBox="1"/>
      </xdr:nvSpPr>
      <xdr:spPr>
        <a:xfrm>
          <a:off x="161925" y="1485900"/>
          <a:ext cx="4038600" cy="12077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  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regions:  in this case REG1 and REG2.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581024</xdr:colOff>
      <xdr:row>9</xdr:row>
      <xdr:rowOff>9525</xdr:rowOff>
    </xdr:from>
    <xdr:to>
      <xdr:col>10</xdr:col>
      <xdr:colOff>152399</xdr:colOff>
      <xdr:row>14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8640F2-B089-4B4F-AEF2-1FB0E16452A5}"/>
            </a:ext>
          </a:extLst>
        </xdr:cNvPr>
        <xdr:cNvSpPr txBox="1"/>
      </xdr:nvSpPr>
      <xdr:spPr>
        <a:xfrm>
          <a:off x="4800599" y="1466850"/>
          <a:ext cx="3362325" cy="847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time-slices resolution for the model, by declaring the elements of each time-slice. In the column-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</xdr:colOff>
      <xdr:row>4</xdr:row>
      <xdr:rowOff>19049</xdr:rowOff>
    </xdr:from>
    <xdr:to>
      <xdr:col>15</xdr:col>
      <xdr:colOff>276225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D163C4-7775-444F-93F2-5B89EC116EDD}"/>
            </a:ext>
          </a:extLst>
        </xdr:cNvPr>
        <xdr:cNvSpPr txBox="1"/>
      </xdr:nvSpPr>
      <xdr:spPr>
        <a:xfrm>
          <a:off x="4914899" y="666749"/>
          <a:ext cx="6524626" cy="19050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6</xdr:col>
      <xdr:colOff>9525</xdr:colOff>
      <xdr:row>20</xdr:row>
      <xdr:rowOff>121943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7ED2A0-BBD1-49C4-A542-35BAE0232C17}"/>
            </a:ext>
          </a:extLst>
        </xdr:cNvPr>
        <xdr:cNvSpPr txBox="1"/>
      </xdr:nvSpPr>
      <xdr:spPr>
        <a:xfrm>
          <a:off x="161925" y="1943100"/>
          <a:ext cx="5962650" cy="1419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~ImpSettings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some settings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the synchronization process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Dummy Imports: one can control the creation of dummy imports in the table shown above.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backstop dummy processes are introduced in the model in order to avoid infeasibilities that may arise if not enough energy carrier or demand can be supplied.</a:t>
          </a:r>
          <a:endParaRPr lang="en-GB">
            <a:effectLst/>
          </a:endParaRPr>
        </a:p>
        <a:p>
          <a:pPr lvl="0"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Vintage Bounds: VEDA can automatically generate bounds to prohibit investments in processes when a newer vintage becomes available, assuming that the last two characters of the process name are used for the first year of availability .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9525</xdr:rowOff>
    </xdr:from>
    <xdr:to>
      <xdr:col>20</xdr:col>
      <xdr:colOff>476250</xdr:colOff>
      <xdr:row>16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6455C6-25AA-4D51-B400-33BBDD36794E}"/>
            </a:ext>
          </a:extLst>
        </xdr:cNvPr>
        <xdr:cNvSpPr txBox="1"/>
      </xdr:nvSpPr>
      <xdr:spPr>
        <a:xfrm>
          <a:off x="6848475" y="171450"/>
          <a:ext cx="5962650" cy="22193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 the parameter defined in the column attribute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all the processes  defined in the model.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180975</xdr:colOff>
      <xdr:row>8</xdr:row>
      <xdr:rowOff>133350</xdr:rowOff>
    </xdr:from>
    <xdr:to>
      <xdr:col>10</xdr:col>
      <xdr:colOff>85725</xdr:colOff>
      <xdr:row>26</xdr:row>
      <xdr:rowOff>38100</xdr:rowOff>
    </xdr:to>
    <xdr:pic>
      <xdr:nvPicPr>
        <xdr:cNvPr id="1552" name="Picture 2">
          <a:extLst>
            <a:ext uri="{FF2B5EF4-FFF2-40B4-BE49-F238E27FC236}">
              <a16:creationId xmlns:a16="http://schemas.microsoft.com/office/drawing/2014/main" id="{BCC449D9-6401-4378-B907-0D18D4DC6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438275"/>
          <a:ext cx="6134100" cy="2943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593089</xdr:colOff>
      <xdr:row>5</xdr:row>
      <xdr:rowOff>88903</xdr:rowOff>
    </xdr:from>
    <xdr:to>
      <xdr:col>20</xdr:col>
      <xdr:colOff>55039</xdr:colOff>
      <xdr:row>21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338ABD-4DA6-45F3-AA5B-11CCFEEA779B}"/>
            </a:ext>
          </a:extLst>
        </xdr:cNvPr>
        <xdr:cNvSpPr txBox="1"/>
      </xdr:nvSpPr>
      <xdr:spPr>
        <a:xfrm>
          <a:off x="6889114" y="927103"/>
          <a:ext cx="6167550" cy="22637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10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1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476250</xdr:colOff>
      <xdr:row>9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15DF75-4706-4833-AE28-56D30B52A69F}"/>
            </a:ext>
          </a:extLst>
        </xdr:cNvPr>
        <xdr:cNvSpPr txBox="1"/>
      </xdr:nvSpPr>
      <xdr:spPr>
        <a:xfrm>
          <a:off x="5448300" y="323850"/>
          <a:ext cx="5962650" cy="1171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6"/>
  <sheetViews>
    <sheetView zoomScaleNormal="100" workbookViewId="0">
      <selection activeCell="N21" sqref="N21"/>
    </sheetView>
  </sheetViews>
  <sheetFormatPr defaultRowHeight="13.2" x14ac:dyDescent="0.25"/>
  <cols>
    <col min="1" max="1" width="2.109375" customWidth="1"/>
    <col min="2" max="2" width="19.109375" bestFit="1" customWidth="1"/>
    <col min="3" max="3" width="14.5546875" customWidth="1"/>
    <col min="7" max="7" width="3.44140625" customWidth="1"/>
    <col min="8" max="8" width="29.44140625" customWidth="1"/>
  </cols>
  <sheetData>
    <row r="3" spans="2:10" x14ac:dyDescent="0.25">
      <c r="B3" s="1" t="s">
        <v>10</v>
      </c>
      <c r="H3" s="1" t="s">
        <v>12</v>
      </c>
      <c r="I3" s="3"/>
      <c r="J3" s="3"/>
    </row>
    <row r="4" spans="2:10" x14ac:dyDescent="0.25">
      <c r="B4" s="2" t="s">
        <v>16</v>
      </c>
      <c r="C4" s="2" t="s">
        <v>17</v>
      </c>
      <c r="H4" s="2" t="s">
        <v>13</v>
      </c>
      <c r="I4" s="2" t="s">
        <v>14</v>
      </c>
      <c r="J4" s="2" t="s">
        <v>15</v>
      </c>
    </row>
    <row r="5" spans="2:10" x14ac:dyDescent="0.25">
      <c r="B5" s="16" t="s">
        <v>55</v>
      </c>
      <c r="C5" s="4" t="s">
        <v>55</v>
      </c>
      <c r="H5" t="s">
        <v>71</v>
      </c>
      <c r="J5" t="s">
        <v>71</v>
      </c>
    </row>
    <row r="6" spans="2:10" x14ac:dyDescent="0.25">
      <c r="B6" s="16" t="s">
        <v>73</v>
      </c>
      <c r="C6" s="65" t="s">
        <v>73</v>
      </c>
      <c r="H6" t="s">
        <v>92</v>
      </c>
      <c r="J6" t="s">
        <v>72</v>
      </c>
    </row>
  </sheetData>
  <phoneticPr fontId="4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20"/>
  <sheetViews>
    <sheetView zoomScaleNormal="100" workbookViewId="0">
      <selection activeCell="E22" sqref="E22"/>
    </sheetView>
  </sheetViews>
  <sheetFormatPr defaultRowHeight="13.2" x14ac:dyDescent="0.25"/>
  <cols>
    <col min="2" max="2" width="13.6640625" bestFit="1" customWidth="1"/>
    <col min="3" max="3" width="6.6640625" bestFit="1" customWidth="1"/>
    <col min="4" max="4" width="7.6640625" bestFit="1" customWidth="1"/>
    <col min="5" max="5" width="17.88671875" customWidth="1"/>
    <col min="6" max="6" width="8.6640625" bestFit="1" customWidth="1"/>
    <col min="8" max="8" width="11.88671875" bestFit="1" customWidth="1"/>
  </cols>
  <sheetData>
    <row r="3" spans="2:4" x14ac:dyDescent="0.25">
      <c r="B3" t="s">
        <v>39</v>
      </c>
    </row>
    <row r="4" spans="2:4" x14ac:dyDescent="0.25">
      <c r="B4">
        <v>2021</v>
      </c>
    </row>
    <row r="7" spans="2:4" x14ac:dyDescent="0.25">
      <c r="B7" t="s">
        <v>40</v>
      </c>
    </row>
    <row r="8" spans="2:4" x14ac:dyDescent="0.25">
      <c r="B8" t="s">
        <v>90</v>
      </c>
    </row>
    <row r="11" spans="2:4" x14ac:dyDescent="0.25">
      <c r="B11" t="s">
        <v>11</v>
      </c>
    </row>
    <row r="12" spans="2:4" x14ac:dyDescent="0.25">
      <c r="B12" s="66" t="s">
        <v>41</v>
      </c>
      <c r="C12" s="67" t="s">
        <v>74</v>
      </c>
      <c r="D12" s="68" t="s">
        <v>90</v>
      </c>
    </row>
    <row r="13" spans="2:4" x14ac:dyDescent="0.25">
      <c r="B13" s="15">
        <v>1</v>
      </c>
      <c r="C13" s="15">
        <v>1</v>
      </c>
      <c r="D13" s="15">
        <v>1</v>
      </c>
    </row>
    <row r="14" spans="2:4" x14ac:dyDescent="0.25">
      <c r="B14" s="15">
        <v>2</v>
      </c>
      <c r="C14" s="15">
        <v>2</v>
      </c>
      <c r="D14" s="15">
        <v>1</v>
      </c>
    </row>
    <row r="15" spans="2:4" x14ac:dyDescent="0.25">
      <c r="B15" s="15"/>
      <c r="C15" s="15">
        <v>5</v>
      </c>
      <c r="D15" s="15">
        <v>5</v>
      </c>
    </row>
    <row r="16" spans="2:4" x14ac:dyDescent="0.25">
      <c r="B16" s="15"/>
      <c r="C16" s="15">
        <v>5</v>
      </c>
      <c r="D16" s="15">
        <v>5</v>
      </c>
    </row>
    <row r="17" spans="2:4" x14ac:dyDescent="0.25">
      <c r="B17" s="15"/>
      <c r="C17" s="15">
        <v>5</v>
      </c>
      <c r="D17" s="15">
        <v>5</v>
      </c>
    </row>
    <row r="18" spans="2:4" x14ac:dyDescent="0.25">
      <c r="B18" s="15"/>
      <c r="C18" s="15"/>
      <c r="D18" s="15">
        <v>5</v>
      </c>
    </row>
    <row r="19" spans="2:4" x14ac:dyDescent="0.25">
      <c r="B19" s="15"/>
      <c r="C19" s="15"/>
      <c r="D19" s="15">
        <v>5</v>
      </c>
    </row>
    <row r="20" spans="2:4" x14ac:dyDescent="0.25">
      <c r="B20" s="15"/>
      <c r="C20" s="15"/>
      <c r="D20" s="15">
        <v>5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11"/>
  <sheetViews>
    <sheetView zoomScaleNormal="100" workbookViewId="0"/>
  </sheetViews>
  <sheetFormatPr defaultRowHeight="13.2" x14ac:dyDescent="0.25"/>
  <cols>
    <col min="1" max="1" width="2.44140625" customWidth="1"/>
    <col min="2" max="2" width="52.6640625" bestFit="1" customWidth="1"/>
  </cols>
  <sheetData>
    <row r="3" spans="2:3" x14ac:dyDescent="0.25">
      <c r="B3" s="13" t="s">
        <v>32</v>
      </c>
    </row>
    <row r="4" spans="2:3" x14ac:dyDescent="0.25">
      <c r="B4" s="14" t="s">
        <v>33</v>
      </c>
      <c r="C4" s="63" t="s">
        <v>34</v>
      </c>
    </row>
    <row r="5" spans="2:3" x14ac:dyDescent="0.25">
      <c r="B5" s="64" t="s">
        <v>35</v>
      </c>
      <c r="C5" s="64">
        <v>1</v>
      </c>
    </row>
    <row r="6" spans="2:3" x14ac:dyDescent="0.25">
      <c r="B6" s="15" t="s">
        <v>36</v>
      </c>
      <c r="C6" s="15">
        <v>1</v>
      </c>
    </row>
    <row r="7" spans="2:3" x14ac:dyDescent="0.25">
      <c r="B7" s="15" t="s">
        <v>37</v>
      </c>
      <c r="C7" s="15">
        <v>1</v>
      </c>
    </row>
    <row r="8" spans="2:3" x14ac:dyDescent="0.25">
      <c r="B8" s="15" t="s">
        <v>38</v>
      </c>
      <c r="C8" s="15">
        <v>0</v>
      </c>
    </row>
    <row r="9" spans="2:3" x14ac:dyDescent="0.25">
      <c r="B9" s="15" t="s">
        <v>86</v>
      </c>
      <c r="C9" s="15">
        <v>1</v>
      </c>
    </row>
    <row r="10" spans="2:3" x14ac:dyDescent="0.25">
      <c r="B10" s="15" t="s">
        <v>87</v>
      </c>
      <c r="C10" s="15">
        <v>0</v>
      </c>
    </row>
    <row r="11" spans="2:3" x14ac:dyDescent="0.25">
      <c r="B11" s="15" t="s">
        <v>75</v>
      </c>
      <c r="C11" s="15">
        <v>0</v>
      </c>
    </row>
  </sheetData>
  <phoneticPr fontId="4" type="noConversion"/>
  <pageMargins left="0.75" right="0.75" top="1" bottom="1" header="0.5" footer="0.5"/>
  <pageSetup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Q36"/>
  <sheetViews>
    <sheetView zoomScaleNormal="100" workbookViewId="0">
      <selection activeCell="E5" sqref="E5"/>
    </sheetView>
  </sheetViews>
  <sheetFormatPr defaultRowHeight="13.2" x14ac:dyDescent="0.25"/>
  <cols>
    <col min="1" max="1" width="2.88671875" customWidth="1"/>
    <col min="4" max="4" width="9.6640625" bestFit="1" customWidth="1"/>
    <col min="5" max="5" width="11.6640625" bestFit="1" customWidth="1"/>
    <col min="6" max="6" width="9.5546875" customWidth="1"/>
    <col min="7" max="7" width="10.6640625" bestFit="1" customWidth="1"/>
    <col min="8" max="9" width="10.6640625" customWidth="1"/>
    <col min="13" max="13" width="9.33203125" customWidth="1"/>
  </cols>
  <sheetData>
    <row r="3" spans="2:7" x14ac:dyDescent="0.25">
      <c r="B3" s="1" t="s">
        <v>88</v>
      </c>
    </row>
    <row r="4" spans="2:7" ht="13.8" thickBot="1" x14ac:dyDescent="0.3">
      <c r="B4" s="5" t="s">
        <v>20</v>
      </c>
      <c r="C4" s="5" t="s">
        <v>21</v>
      </c>
      <c r="D4" s="5" t="s">
        <v>22</v>
      </c>
      <c r="E4" s="5" t="s">
        <v>89</v>
      </c>
      <c r="F4" s="5" t="s">
        <v>2</v>
      </c>
      <c r="G4" s="5" t="s">
        <v>25</v>
      </c>
    </row>
    <row r="5" spans="2:7" x14ac:dyDescent="0.25">
      <c r="C5" t="s">
        <v>76</v>
      </c>
      <c r="D5" t="s">
        <v>77</v>
      </c>
      <c r="E5">
        <v>0</v>
      </c>
      <c r="F5">
        <v>5</v>
      </c>
    </row>
    <row r="6" spans="2:7" x14ac:dyDescent="0.25">
      <c r="C6" t="s">
        <v>76</v>
      </c>
      <c r="D6" s="16" t="s">
        <v>78</v>
      </c>
      <c r="E6" s="16">
        <v>0</v>
      </c>
      <c r="F6">
        <v>5</v>
      </c>
    </row>
    <row r="7" spans="2:7" x14ac:dyDescent="0.25">
      <c r="C7" t="s">
        <v>76</v>
      </c>
      <c r="D7" s="16" t="s">
        <v>79</v>
      </c>
      <c r="E7" s="16">
        <v>0</v>
      </c>
      <c r="F7">
        <v>5</v>
      </c>
    </row>
    <row r="18" spans="2:4" ht="19.5" customHeight="1" x14ac:dyDescent="0.25"/>
    <row r="19" spans="2:4" ht="15.75" customHeight="1" x14ac:dyDescent="0.25"/>
    <row r="30" spans="2:4" ht="15" x14ac:dyDescent="0.25">
      <c r="B30" s="6" t="s">
        <v>46</v>
      </c>
    </row>
    <row r="32" spans="2:4" ht="17.399999999999999" x14ac:dyDescent="0.3">
      <c r="B32" s="8" t="s">
        <v>45</v>
      </c>
      <c r="C32" s="8"/>
      <c r="D32" s="8"/>
    </row>
    <row r="33" spans="2:17" x14ac:dyDescent="0.25">
      <c r="B33" s="1" t="s">
        <v>0</v>
      </c>
    </row>
    <row r="34" spans="2:17" ht="13.8" thickBot="1" x14ac:dyDescent="0.3">
      <c r="B34" s="5" t="s">
        <v>20</v>
      </c>
      <c r="C34" s="5" t="s">
        <v>21</v>
      </c>
      <c r="D34" s="5" t="s">
        <v>22</v>
      </c>
      <c r="E34" s="5" t="s">
        <v>23</v>
      </c>
      <c r="F34" s="5" t="s">
        <v>3</v>
      </c>
      <c r="G34" s="5" t="s">
        <v>2</v>
      </c>
      <c r="H34" s="5" t="s">
        <v>55</v>
      </c>
      <c r="I34" s="5" t="s">
        <v>73</v>
      </c>
      <c r="J34" s="5" t="s">
        <v>24</v>
      </c>
      <c r="K34" s="5" t="s">
        <v>25</v>
      </c>
      <c r="L34" s="5" t="s">
        <v>31</v>
      </c>
      <c r="M34" s="5" t="s">
        <v>26</v>
      </c>
      <c r="N34" s="5" t="s">
        <v>27</v>
      </c>
      <c r="O34" s="5" t="s">
        <v>28</v>
      </c>
      <c r="P34" s="5" t="s">
        <v>29</v>
      </c>
      <c r="Q34" s="5" t="s">
        <v>30</v>
      </c>
    </row>
    <row r="35" spans="2:17" x14ac:dyDescent="0.25">
      <c r="D35" t="s">
        <v>4</v>
      </c>
      <c r="G35">
        <v>2222</v>
      </c>
      <c r="J35" t="s">
        <v>18</v>
      </c>
      <c r="K35" t="s">
        <v>1</v>
      </c>
    </row>
    <row r="36" spans="2:17" x14ac:dyDescent="0.25">
      <c r="D36" t="s">
        <v>4</v>
      </c>
      <c r="G36">
        <v>8888</v>
      </c>
      <c r="J36" t="s">
        <v>18</v>
      </c>
      <c r="K36" t="s">
        <v>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H35"/>
  <sheetViews>
    <sheetView tabSelected="1" zoomScaleNormal="100" workbookViewId="0">
      <selection activeCell="I23" sqref="I23"/>
    </sheetView>
  </sheetViews>
  <sheetFormatPr defaultColWidth="9.109375" defaultRowHeight="13.2" x14ac:dyDescent="0.25"/>
  <cols>
    <col min="1" max="1" width="9.109375" style="11"/>
    <col min="2" max="2" width="12.109375" style="11" customWidth="1"/>
    <col min="3" max="3" width="10.88671875" style="11" customWidth="1"/>
    <col min="4" max="4" width="14" style="11" customWidth="1"/>
    <col min="5" max="5" width="10.44140625" style="11" bestFit="1" customWidth="1"/>
    <col min="6" max="6" width="10.44140625" style="11" customWidth="1"/>
    <col min="7" max="16384" width="9.109375" style="11"/>
  </cols>
  <sheetData>
    <row r="3" spans="2:8" ht="15" x14ac:dyDescent="0.25">
      <c r="B3" s="6" t="s">
        <v>48</v>
      </c>
    </row>
    <row r="5" spans="2:8" x14ac:dyDescent="0.25">
      <c r="B5" s="10" t="s">
        <v>19</v>
      </c>
    </row>
    <row r="6" spans="2:8" ht="13.8" thickBot="1" x14ac:dyDescent="0.3">
      <c r="B6" s="5" t="s">
        <v>20</v>
      </c>
      <c r="C6" s="5" t="s">
        <v>21</v>
      </c>
      <c r="D6" s="5" t="s">
        <v>22</v>
      </c>
      <c r="E6" s="5" t="s">
        <v>2</v>
      </c>
      <c r="F6" s="5" t="s">
        <v>55</v>
      </c>
      <c r="G6" s="5" t="s">
        <v>23</v>
      </c>
      <c r="H6" s="5" t="s">
        <v>29</v>
      </c>
    </row>
    <row r="7" spans="2:8" x14ac:dyDescent="0.25">
      <c r="D7" s="11" t="s">
        <v>57</v>
      </c>
      <c r="E7" s="11">
        <v>2021</v>
      </c>
      <c r="F7" s="11">
        <v>2021</v>
      </c>
    </row>
    <row r="8" spans="2:8" x14ac:dyDescent="0.25">
      <c r="D8" s="11" t="s">
        <v>47</v>
      </c>
      <c r="E8" s="11">
        <v>0.08</v>
      </c>
      <c r="F8" s="11">
        <v>0.08</v>
      </c>
    </row>
    <row r="9" spans="2:8" x14ac:dyDescent="0.25">
      <c r="B9" s="11" t="s">
        <v>93</v>
      </c>
      <c r="D9" s="11" t="s">
        <v>56</v>
      </c>
      <c r="E9" s="17">
        <f>C25</f>
        <v>0.22728310502283106</v>
      </c>
      <c r="F9" s="17">
        <v>0.22728310502283106</v>
      </c>
    </row>
    <row r="10" spans="2:8" x14ac:dyDescent="0.25">
      <c r="B10" s="11" t="s">
        <v>94</v>
      </c>
      <c r="D10" s="11" t="s">
        <v>56</v>
      </c>
      <c r="E10" s="17">
        <f>D25</f>
        <v>0.26860730593607307</v>
      </c>
      <c r="F10" s="17">
        <v>0.26860730593607307</v>
      </c>
    </row>
    <row r="11" spans="2:8" x14ac:dyDescent="0.25">
      <c r="B11" s="11" t="s">
        <v>95</v>
      </c>
      <c r="D11" s="11" t="s">
        <v>56</v>
      </c>
      <c r="E11" s="17">
        <f>E25</f>
        <v>0.23105022831050229</v>
      </c>
      <c r="F11" s="17">
        <v>0.23105022831050229</v>
      </c>
    </row>
    <row r="12" spans="2:8" x14ac:dyDescent="0.25">
      <c r="B12" s="11" t="s">
        <v>96</v>
      </c>
      <c r="D12" s="11" t="s">
        <v>56</v>
      </c>
      <c r="E12" s="17">
        <f>F25</f>
        <v>0.27305936073059361</v>
      </c>
      <c r="F12" s="17">
        <v>0.27305936073059361</v>
      </c>
    </row>
    <row r="13" spans="2:8" x14ac:dyDescent="0.25">
      <c r="B13"/>
      <c r="C13"/>
      <c r="D13" s="11" t="s">
        <v>61</v>
      </c>
      <c r="F13" s="34">
        <f>1-0.063</f>
        <v>0.93700000000000006</v>
      </c>
      <c r="G13" s="69">
        <v>2021</v>
      </c>
      <c r="H13" s="11" t="s">
        <v>62</v>
      </c>
    </row>
    <row r="14" spans="2:8" x14ac:dyDescent="0.25">
      <c r="B14"/>
      <c r="C14"/>
      <c r="D14" s="11" t="s">
        <v>61</v>
      </c>
      <c r="F14" s="34">
        <f>1-0.063</f>
        <v>0.93700000000000006</v>
      </c>
      <c r="G14" s="69">
        <v>2022</v>
      </c>
      <c r="H14" s="11" t="s">
        <v>62</v>
      </c>
    </row>
    <row r="15" spans="2:8" x14ac:dyDescent="0.25">
      <c r="B15"/>
      <c r="C15"/>
      <c r="D15" s="11" t="s">
        <v>61</v>
      </c>
      <c r="F15" s="34">
        <f>1-0.062</f>
        <v>0.93799999999999994</v>
      </c>
      <c r="G15" s="69">
        <v>2025</v>
      </c>
      <c r="H15" s="11" t="s">
        <v>62</v>
      </c>
    </row>
    <row r="16" spans="2:8" x14ac:dyDescent="0.25">
      <c r="B16"/>
      <c r="C16"/>
      <c r="D16" s="11" t="s">
        <v>61</v>
      </c>
      <c r="F16" s="34">
        <f>1-0.059</f>
        <v>0.94100000000000006</v>
      </c>
      <c r="G16" s="69">
        <v>2030</v>
      </c>
      <c r="H16" s="11" t="s">
        <v>62</v>
      </c>
    </row>
    <row r="17" spans="2:8" x14ac:dyDescent="0.25">
      <c r="B17"/>
      <c r="C17"/>
      <c r="D17" s="11" t="s">
        <v>61</v>
      </c>
      <c r="F17" s="34">
        <f>1-0.057</f>
        <v>0.94299999999999995</v>
      </c>
      <c r="G17" s="69">
        <v>2035</v>
      </c>
      <c r="H17" s="11" t="s">
        <v>62</v>
      </c>
    </row>
    <row r="18" spans="2:8" x14ac:dyDescent="0.25">
      <c r="B18"/>
      <c r="C18"/>
      <c r="D18" s="11" t="s">
        <v>61</v>
      </c>
      <c r="F18" s="34">
        <f>1-0.055</f>
        <v>0.94499999999999995</v>
      </c>
      <c r="G18" s="69">
        <v>2040</v>
      </c>
      <c r="H18" s="11" t="s">
        <v>62</v>
      </c>
    </row>
    <row r="19" spans="2:8" x14ac:dyDescent="0.25">
      <c r="B19"/>
      <c r="C19"/>
      <c r="D19"/>
      <c r="G19" s="69"/>
    </row>
    <row r="20" spans="2:8" x14ac:dyDescent="0.25">
      <c r="B20"/>
      <c r="C20"/>
      <c r="D20"/>
    </row>
    <row r="21" spans="2:8" ht="17.399999999999999" x14ac:dyDescent="0.3">
      <c r="B21" s="19" t="s">
        <v>63</v>
      </c>
      <c r="C21" s="20"/>
      <c r="D21" s="21"/>
      <c r="E21" s="21"/>
      <c r="F21" s="21"/>
      <c r="G21" s="21"/>
    </row>
    <row r="22" spans="2:8" x14ac:dyDescent="0.25">
      <c r="C22" s="22"/>
      <c r="D22" s="22"/>
    </row>
    <row r="23" spans="2:8" x14ac:dyDescent="0.25">
      <c r="B23" s="23" t="s">
        <v>22</v>
      </c>
      <c r="C23" s="24" t="s">
        <v>93</v>
      </c>
      <c r="D23" s="25" t="s">
        <v>94</v>
      </c>
      <c r="E23" s="25" t="s">
        <v>95</v>
      </c>
      <c r="F23" s="26" t="s">
        <v>96</v>
      </c>
    </row>
    <row r="24" spans="2:8" x14ac:dyDescent="0.25">
      <c r="B24" s="27"/>
      <c r="C24" s="28" t="s">
        <v>97</v>
      </c>
      <c r="D24" s="29" t="s">
        <v>98</v>
      </c>
      <c r="E24" s="29" t="s">
        <v>99</v>
      </c>
      <c r="F24" s="30" t="s">
        <v>100</v>
      </c>
    </row>
    <row r="25" spans="2:8" x14ac:dyDescent="0.25">
      <c r="B25" s="23" t="s">
        <v>56</v>
      </c>
      <c r="C25" s="31">
        <f>C34/$F34*$E29</f>
        <v>0.22728310502283106</v>
      </c>
      <c r="D25" s="32">
        <f>D34/$F34*$E29</f>
        <v>0.26860730593607307</v>
      </c>
      <c r="E25" s="32">
        <f>C35/$F35*$E30</f>
        <v>0.23105022831050229</v>
      </c>
      <c r="F25" s="33">
        <f>D35/$F35*$E30</f>
        <v>0.27305936073059361</v>
      </c>
      <c r="G25" s="34">
        <f>SUM(C25:F25)</f>
        <v>1</v>
      </c>
    </row>
    <row r="26" spans="2:8" x14ac:dyDescent="0.25">
      <c r="B26" s="35"/>
      <c r="C26" s="35"/>
      <c r="D26" s="35"/>
      <c r="E26" s="35"/>
      <c r="F26" s="35"/>
    </row>
    <row r="27" spans="2:8" x14ac:dyDescent="0.25">
      <c r="B27" s="35"/>
      <c r="C27" s="36"/>
      <c r="D27" s="36"/>
      <c r="E27" s="36"/>
      <c r="F27" s="35"/>
      <c r="G27" s="35"/>
    </row>
    <row r="28" spans="2:8" x14ac:dyDescent="0.25">
      <c r="B28" s="35"/>
      <c r="C28" s="37" t="s">
        <v>64</v>
      </c>
      <c r="D28" s="38" t="s">
        <v>65</v>
      </c>
      <c r="E28" s="39" t="s">
        <v>66</v>
      </c>
      <c r="F28" s="40"/>
      <c r="G28" s="35"/>
    </row>
    <row r="29" spans="2:8" x14ac:dyDescent="0.25">
      <c r="B29" s="41" t="s">
        <v>101</v>
      </c>
      <c r="C29" s="42" t="s">
        <v>67</v>
      </c>
      <c r="D29" s="43">
        <v>181</v>
      </c>
      <c r="E29" s="44">
        <f>D29/D31</f>
        <v>0.49589041095890413</v>
      </c>
      <c r="F29" s="45"/>
      <c r="G29" s="35"/>
    </row>
    <row r="30" spans="2:8" x14ac:dyDescent="0.25">
      <c r="B30" s="46" t="s">
        <v>102</v>
      </c>
      <c r="C30" s="47" t="s">
        <v>68</v>
      </c>
      <c r="D30" s="48">
        <v>184</v>
      </c>
      <c r="E30" s="49">
        <f>D30/D31</f>
        <v>0.50410958904109593</v>
      </c>
      <c r="F30" s="45"/>
      <c r="G30" s="35"/>
    </row>
    <row r="31" spans="2:8" x14ac:dyDescent="0.25">
      <c r="B31" s="35"/>
      <c r="C31" s="35"/>
      <c r="D31" s="50">
        <f>SUM(D29:D30)</f>
        <v>365</v>
      </c>
      <c r="E31" s="51">
        <f>SUM(E29:E30)</f>
        <v>1</v>
      </c>
      <c r="F31" s="52"/>
      <c r="G31" s="35"/>
    </row>
    <row r="32" spans="2:8" x14ac:dyDescent="0.25">
      <c r="B32" s="35"/>
      <c r="C32" s="35"/>
      <c r="D32" s="53"/>
      <c r="E32" s="35"/>
      <c r="F32" s="35"/>
      <c r="G32" s="35"/>
    </row>
    <row r="33" spans="2:7" x14ac:dyDescent="0.25">
      <c r="B33" s="54"/>
      <c r="C33" s="55" t="s">
        <v>69</v>
      </c>
      <c r="D33" s="39" t="s">
        <v>70</v>
      </c>
      <c r="E33" s="56"/>
      <c r="F33" s="35"/>
      <c r="G33" s="35"/>
    </row>
    <row r="34" spans="2:7" x14ac:dyDescent="0.25">
      <c r="B34" s="57" t="s">
        <v>71</v>
      </c>
      <c r="C34" s="58">
        <v>11</v>
      </c>
      <c r="D34" s="59">
        <v>13</v>
      </c>
      <c r="E34" s="52"/>
      <c r="F34" s="52">
        <f>SUM(C34:E34)</f>
        <v>24</v>
      </c>
      <c r="G34" s="35"/>
    </row>
    <row r="35" spans="2:7" x14ac:dyDescent="0.25">
      <c r="B35" s="60" t="s">
        <v>92</v>
      </c>
      <c r="C35" s="61">
        <v>11</v>
      </c>
      <c r="D35" s="62">
        <v>13</v>
      </c>
      <c r="E35" s="52"/>
      <c r="F35" s="52">
        <f>SUM(C35:E35)</f>
        <v>24</v>
      </c>
      <c r="G35" s="35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6"/>
  <sheetViews>
    <sheetView workbookViewId="0">
      <selection activeCell="D2" sqref="D2:I6"/>
    </sheetView>
  </sheetViews>
  <sheetFormatPr defaultRowHeight="13.2" x14ac:dyDescent="0.25"/>
  <cols>
    <col min="2" max="2" width="11.6640625" bestFit="1" customWidth="1"/>
    <col min="4" max="4" width="15.5546875" bestFit="1" customWidth="1"/>
    <col min="5" max="5" width="4" bestFit="1" customWidth="1"/>
    <col min="6" max="6" width="4.5546875" bestFit="1" customWidth="1"/>
    <col min="7" max="7" width="4.33203125" bestFit="1" customWidth="1"/>
    <col min="8" max="8" width="5" bestFit="1" customWidth="1"/>
  </cols>
  <sheetData>
    <row r="2" spans="2:9" x14ac:dyDescent="0.25">
      <c r="B2" s="1" t="s">
        <v>49</v>
      </c>
      <c r="D2" s="1" t="s">
        <v>51</v>
      </c>
    </row>
    <row r="3" spans="2:9" ht="13.8" thickBot="1" x14ac:dyDescent="0.3">
      <c r="B3" s="12" t="s">
        <v>50</v>
      </c>
      <c r="D3" s="12" t="s">
        <v>33</v>
      </c>
      <c r="E3" s="18" t="s">
        <v>59</v>
      </c>
      <c r="F3" s="18" t="s">
        <v>62</v>
      </c>
      <c r="G3" s="18" t="s">
        <v>81</v>
      </c>
      <c r="H3" s="18" t="s">
        <v>82</v>
      </c>
      <c r="I3" s="18" t="s">
        <v>83</v>
      </c>
    </row>
    <row r="4" spans="2:9" x14ac:dyDescent="0.25">
      <c r="B4" s="16" t="s">
        <v>91</v>
      </c>
      <c r="D4" t="s">
        <v>52</v>
      </c>
      <c r="E4" s="16" t="s">
        <v>58</v>
      </c>
      <c r="F4" s="16" t="s">
        <v>58</v>
      </c>
      <c r="G4" s="16" t="s">
        <v>58</v>
      </c>
      <c r="H4" s="16" t="s">
        <v>58</v>
      </c>
      <c r="I4" s="16" t="s">
        <v>84</v>
      </c>
    </row>
    <row r="5" spans="2:9" x14ac:dyDescent="0.25">
      <c r="D5" t="s">
        <v>53</v>
      </c>
      <c r="E5" s="16" t="s">
        <v>60</v>
      </c>
      <c r="F5" s="16" t="s">
        <v>80</v>
      </c>
      <c r="G5" s="16" t="s">
        <v>80</v>
      </c>
      <c r="H5" s="16" t="s">
        <v>60</v>
      </c>
      <c r="I5" s="16" t="s">
        <v>85</v>
      </c>
    </row>
    <row r="6" spans="2:9" x14ac:dyDescent="0.25">
      <c r="D6" t="s">
        <v>54</v>
      </c>
      <c r="E6" t="s">
        <v>58</v>
      </c>
      <c r="F6" t="s">
        <v>58</v>
      </c>
      <c r="G6" t="s">
        <v>58</v>
      </c>
      <c r="H6" t="s">
        <v>58</v>
      </c>
      <c r="I6" s="16" t="s">
        <v>84</v>
      </c>
    </row>
  </sheetData>
  <phoneticPr fontId="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7"/>
  <sheetViews>
    <sheetView zoomScaleNormal="100" workbookViewId="0">
      <selection activeCell="J18" sqref="J18:J19"/>
    </sheetView>
  </sheetViews>
  <sheetFormatPr defaultRowHeight="13.2" x14ac:dyDescent="0.25"/>
  <cols>
    <col min="1" max="1" width="3.109375" customWidth="1"/>
    <col min="2" max="2" width="15.6640625" customWidth="1"/>
    <col min="3" max="3" width="18.33203125" customWidth="1"/>
    <col min="4" max="4" width="8.6640625" bestFit="1" customWidth="1"/>
    <col min="5" max="6" width="8.44140625" bestFit="1" customWidth="1"/>
    <col min="7" max="8" width="11.33203125" customWidth="1"/>
    <col min="9" max="11" width="11.88671875" customWidth="1"/>
  </cols>
  <sheetData>
    <row r="2" spans="2:9" ht="15" x14ac:dyDescent="0.25">
      <c r="B2" s="6" t="s">
        <v>42</v>
      </c>
      <c r="C2" s="7"/>
      <c r="D2" s="7"/>
      <c r="E2" s="7"/>
      <c r="F2" s="7"/>
      <c r="G2" s="7"/>
      <c r="H2" s="7"/>
    </row>
    <row r="4" spans="2:9" ht="21" customHeight="1" x14ac:dyDescent="0.3">
      <c r="B4" s="8" t="s">
        <v>6</v>
      </c>
      <c r="C4" s="8"/>
      <c r="D4" s="8"/>
      <c r="E4" s="8"/>
      <c r="F4" s="8"/>
    </row>
    <row r="5" spans="2:9" ht="18" customHeight="1" x14ac:dyDescent="0.25">
      <c r="B5" s="1" t="s">
        <v>7</v>
      </c>
    </row>
    <row r="6" spans="2:9" ht="18.75" customHeight="1" thickBot="1" x14ac:dyDescent="0.3">
      <c r="B6" s="5" t="s">
        <v>8</v>
      </c>
      <c r="C6" s="5" t="s">
        <v>9</v>
      </c>
      <c r="D6" s="5" t="s">
        <v>28</v>
      </c>
      <c r="E6" s="5" t="s">
        <v>29</v>
      </c>
      <c r="F6" s="5" t="s">
        <v>30</v>
      </c>
      <c r="G6" s="5" t="s">
        <v>2</v>
      </c>
      <c r="H6" s="5" t="s">
        <v>55</v>
      </c>
      <c r="I6" s="5" t="s">
        <v>73</v>
      </c>
    </row>
    <row r="7" spans="2:9" ht="27" thickBot="1" x14ac:dyDescent="0.3">
      <c r="B7" s="9" t="s">
        <v>43</v>
      </c>
      <c r="C7" s="9" t="s">
        <v>44</v>
      </c>
      <c r="D7" s="9"/>
      <c r="E7" s="9"/>
      <c r="F7" s="9"/>
      <c r="G7" s="9"/>
      <c r="H7" s="9"/>
      <c r="I7" s="9"/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Region-Time Slices</vt:lpstr>
      <vt:lpstr>TimePeriods</vt:lpstr>
      <vt:lpstr>Import Settings</vt:lpstr>
      <vt:lpstr>Interpol_Extrapol_Defaults</vt:lpstr>
      <vt:lpstr>Constants</vt:lpstr>
      <vt:lpstr>Defaults</vt:lpstr>
      <vt:lpstr>Commodity Group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2001-09-28T20:39:50Z</cp:lastPrinted>
  <dcterms:created xsi:type="dcterms:W3CDTF">2001-09-28T18:48:17Z</dcterms:created>
  <dcterms:modified xsi:type="dcterms:W3CDTF">2026-10-12T03:22:09Z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766094386577606</vt:r8>
  </property>
</Properties>
</file>