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Veda\Veda_models\Demo_models\001_KHM_TIMES_20260606\"/>
    </mc:Choice>
  </mc:AlternateContent>
  <xr:revisionPtr revIDLastSave="0" documentId="13_ncr:1_{A7A0FADD-1399-40D3-8BA2-149781F8BD34}" xr6:coauthVersionLast="47" xr6:coauthVersionMax="47" xr10:uidLastSave="{00000000-0000-0000-0000-000000000000}"/>
  <bookViews>
    <workbookView xWindow="-108" yWindow="-108" windowWidth="23256" windowHeight="12576" tabRatio="901" activeTab="3" xr2:uid="{00000000-000D-0000-FFFF-FFFF00000000}"/>
  </bookViews>
  <sheets>
    <sheet name="EB1" sheetId="133" r:id="rId1"/>
    <sheet name="RES_ELC" sheetId="152" r:id="rId2"/>
    <sheet name="Sector_Fuels_ELC" sheetId="140" r:id="rId3"/>
    <sheet name="Con_ELC" sheetId="143" r:id="rId4"/>
    <sheet name="Emi" sheetId="149" r:id="rId5"/>
  </sheets>
  <externalReferences>
    <externalReference r:id="rId6"/>
    <externalReference r:id="rId7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F6" i="149" l="1"/>
  <c r="M29" i="143"/>
  <c r="L28" i="143"/>
  <c r="T13" i="143"/>
  <c r="T14" i="143"/>
  <c r="T15" i="143"/>
  <c r="T16" i="143"/>
  <c r="T17" i="143"/>
  <c r="T18" i="143"/>
  <c r="T12" i="143"/>
  <c r="G11" i="143"/>
  <c r="F11" i="143" l="1"/>
  <c r="E11" i="143"/>
  <c r="U6" i="133"/>
  <c r="G5" i="133"/>
  <c r="M5" i="133"/>
  <c r="H7" i="133"/>
  <c r="N8" i="133"/>
  <c r="AA18" i="143"/>
  <c r="AA17" i="143"/>
  <c r="AA16" i="143"/>
  <c r="C2" i="140"/>
  <c r="M10" i="140" s="1"/>
  <c r="M23" i="140" s="1"/>
  <c r="B2" i="140"/>
  <c r="L10" i="140" s="1"/>
  <c r="C23" i="140"/>
  <c r="C22" i="140"/>
  <c r="C21" i="140"/>
  <c r="C20" i="140"/>
  <c r="I11" i="143"/>
  <c r="H11" i="143"/>
  <c r="Z6" i="143"/>
  <c r="G2" i="143"/>
  <c r="N11" i="143" s="1"/>
  <c r="E2" i="143"/>
  <c r="Q11" i="143" s="1"/>
  <c r="C2" i="143"/>
  <c r="Y6" i="143" s="1"/>
  <c r="B2" i="143"/>
  <c r="Y5" i="143"/>
  <c r="X5" i="143"/>
  <c r="D14" i="143" s="1"/>
  <c r="AA15" i="143"/>
  <c r="AA14" i="143"/>
  <c r="AA13" i="143"/>
  <c r="AA12" i="143"/>
  <c r="F2" i="140"/>
  <c r="F17" i="140" s="1"/>
  <c r="E2" i="140"/>
  <c r="O19" i="140" s="1"/>
  <c r="P8" i="133"/>
  <c r="J6" i="133"/>
  <c r="U7" i="133"/>
  <c r="M6" i="133"/>
  <c r="L5" i="133"/>
  <c r="L8" i="133"/>
  <c r="P7" i="133"/>
  <c r="U8" i="133"/>
  <c r="O8" i="133"/>
  <c r="D8" i="133"/>
  <c r="F5" i="133"/>
  <c r="K8" i="133"/>
  <c r="I6" i="133"/>
  <c r="E7" i="133"/>
  <c r="H6" i="133"/>
  <c r="I8" i="133"/>
  <c r="R5" i="133"/>
  <c r="J5" i="133"/>
  <c r="I7" i="133"/>
  <c r="K7" i="133"/>
  <c r="F6" i="133"/>
  <c r="J7" i="133"/>
  <c r="P5" i="133"/>
  <c r="H5" i="133"/>
  <c r="R8" i="133"/>
  <c r="R6" i="133"/>
  <c r="O7" i="133"/>
  <c r="K5" i="133"/>
  <c r="F8" i="133"/>
  <c r="T6" i="133"/>
  <c r="E6" i="133"/>
  <c r="S5" i="133"/>
  <c r="D7" i="133"/>
  <c r="F7" i="133"/>
  <c r="D6" i="133"/>
  <c r="N7" i="133"/>
  <c r="S7" i="133"/>
  <c r="S6" i="133"/>
  <c r="K6" i="133"/>
  <c r="R7" i="133"/>
  <c r="H8" i="133"/>
  <c r="G6" i="133"/>
  <c r="P6" i="133"/>
  <c r="T5" i="133"/>
  <c r="G7" i="133"/>
  <c r="Q6" i="133"/>
  <c r="I5" i="133"/>
  <c r="U5" i="133"/>
  <c r="T7" i="133"/>
  <c r="M7" i="133"/>
  <c r="T8" i="133"/>
  <c r="L6" i="133"/>
  <c r="S8" i="133"/>
  <c r="O5" i="133"/>
  <c r="G8" i="133"/>
  <c r="D5" i="133"/>
  <c r="L7" i="133"/>
  <c r="O6" i="133"/>
  <c r="Q5" i="133"/>
  <c r="J8" i="133"/>
  <c r="M8" i="133"/>
  <c r="N5" i="133"/>
  <c r="Q8" i="133"/>
  <c r="E5" i="133"/>
  <c r="V8" i="133"/>
  <c r="E8" i="133"/>
  <c r="V5" i="133"/>
  <c r="Q7" i="133"/>
  <c r="V7" i="133"/>
  <c r="V6" i="133"/>
  <c r="N6" i="133"/>
  <c r="O22" i="140"/>
  <c r="D12" i="143" l="1"/>
  <c r="M8" i="140"/>
  <c r="M21" i="140" s="1"/>
  <c r="M6" i="140"/>
  <c r="M19" i="140" s="1"/>
  <c r="L7" i="140"/>
  <c r="L20" i="140" s="1"/>
  <c r="B20" i="140" s="1"/>
  <c r="M5" i="140"/>
  <c r="M18" i="140" s="1"/>
  <c r="L6" i="140"/>
  <c r="L19" i="140" s="1"/>
  <c r="B19" i="140" s="1"/>
  <c r="L11" i="140"/>
  <c r="D27" i="140" s="1"/>
  <c r="C27" i="140" s="1"/>
  <c r="L8" i="140"/>
  <c r="L5" i="140"/>
  <c r="N24" i="140"/>
  <c r="L12" i="140"/>
  <c r="N23" i="140"/>
  <c r="L9" i="140"/>
  <c r="C15" i="143" s="1"/>
  <c r="J9" i="133"/>
  <c r="H9" i="133"/>
  <c r="S9" i="133"/>
  <c r="Z17" i="143"/>
  <c r="Z14" i="143"/>
  <c r="Z16" i="143"/>
  <c r="Z18" i="143"/>
  <c r="Z12" i="143"/>
  <c r="Z5" i="143"/>
  <c r="Z15" i="143"/>
  <c r="Z13" i="143"/>
  <c r="I9" i="133"/>
  <c r="O11" i="143"/>
  <c r="E23" i="140"/>
  <c r="T9" i="133"/>
  <c r="P9" i="133"/>
  <c r="R9" i="133"/>
  <c r="L9" i="133"/>
  <c r="Q9" i="133"/>
  <c r="V9" i="133"/>
  <c r="M9" i="133"/>
  <c r="D9" i="133"/>
  <c r="L23" i="140"/>
  <c r="B26" i="140" s="1"/>
  <c r="D26" i="140"/>
  <c r="C26" i="140" s="1"/>
  <c r="N11" i="140"/>
  <c r="D13" i="143"/>
  <c r="E9" i="133"/>
  <c r="N9" i="133"/>
  <c r="O18" i="140"/>
  <c r="N25" i="140"/>
  <c r="O9" i="133"/>
  <c r="K9" i="133"/>
  <c r="E21" i="140"/>
  <c r="F9" i="133"/>
  <c r="G9" i="133"/>
  <c r="U9" i="133"/>
  <c r="M9" i="140"/>
  <c r="M22" i="140" s="1"/>
  <c r="N6" i="140"/>
  <c r="O21" i="140"/>
  <c r="M11" i="143"/>
  <c r="X16" i="143"/>
  <c r="L24" i="140"/>
  <c r="B27" i="140" s="1"/>
  <c r="M11" i="140"/>
  <c r="M24" i="140" s="1"/>
  <c r="M12" i="140"/>
  <c r="M25" i="140" s="1"/>
  <c r="D18" i="143"/>
  <c r="N12" i="140"/>
  <c r="N20" i="140"/>
  <c r="N7" i="140"/>
  <c r="N8" i="140"/>
  <c r="D16" i="143"/>
  <c r="N19" i="140"/>
  <c r="O20" i="140"/>
  <c r="O24" i="140"/>
  <c r="O23" i="140"/>
  <c r="N5" i="140"/>
  <c r="C16" i="143"/>
  <c r="O25" i="140"/>
  <c r="E20" i="140"/>
  <c r="X6" i="143"/>
  <c r="B8" i="149" s="1"/>
  <c r="E22" i="140"/>
  <c r="N9" i="140"/>
  <c r="D17" i="143"/>
  <c r="N10" i="140"/>
  <c r="N18" i="140"/>
  <c r="N22" i="140"/>
  <c r="D15" i="143"/>
  <c r="M7" i="140"/>
  <c r="M20" i="140" s="1"/>
  <c r="N21" i="140"/>
  <c r="D18" i="140" l="1"/>
  <c r="C18" i="140" s="1"/>
  <c r="L18" i="140"/>
  <c r="B18" i="140" s="1"/>
  <c r="C12" i="143"/>
  <c r="X17" i="143"/>
  <c r="B17" i="143" s="1"/>
  <c r="C17" i="143"/>
  <c r="D19" i="140"/>
  <c r="C19" i="140" s="1"/>
  <c r="E6" i="149"/>
  <c r="C14" i="143"/>
  <c r="X13" i="143"/>
  <c r="B13" i="143" s="1"/>
  <c r="D6" i="149"/>
  <c r="D20" i="140"/>
  <c r="C13" i="143"/>
  <c r="X12" i="143"/>
  <c r="B12" i="143" s="1"/>
  <c r="D25" i="140"/>
  <c r="C25" i="140" s="1"/>
  <c r="X15" i="143"/>
  <c r="L22" i="140"/>
  <c r="B25" i="140" s="1"/>
  <c r="D24" i="140"/>
  <c r="C24" i="140" s="1"/>
  <c r="L21" i="140"/>
  <c r="B24" i="140" s="1"/>
  <c r="C6" i="149"/>
  <c r="C18" i="143"/>
  <c r="D28" i="140"/>
  <c r="C28" i="140" s="1"/>
  <c r="L25" i="140"/>
  <c r="B28" i="140" s="1"/>
  <c r="X18" i="143"/>
  <c r="B18" i="143" s="1"/>
  <c r="X14" i="143"/>
  <c r="B16" i="143"/>
  <c r="Y16" i="143"/>
  <c r="Y17" i="143" l="1"/>
  <c r="Y12" i="143"/>
  <c r="Y13" i="143"/>
  <c r="B14" i="143"/>
  <c r="Y14" i="143"/>
  <c r="Y18" i="143"/>
  <c r="Y15" i="143"/>
  <c r="B15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5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5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5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6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<sst xmlns="http://schemas.openxmlformats.org/spreadsheetml/2006/main" count="267" uniqueCount="172">
  <si>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</si>
  <si>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</si>
  <si>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</si>
  <si>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</si>
  <si>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</si>
  <si>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</si>
  <si>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</si>
  <si>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</si>
  <si>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</si>
  <si>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</si>
  <si>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</si>
  <si>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</si>
  <si>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</si>
  <si>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</si>
  <si>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</si>
  <si>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</si>
  <si>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</si>
  <si>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</si>
  <si>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</si>
  <si>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</si>
  <si>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</si>
  <si>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</si>
  <si>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</si>
  <si>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</si>
  <si>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</si>
  <si>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</si>
  <si>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</si>
  <si>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</si>
  <si>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</si>
  <si>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</si>
  <si>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</si>
  <si>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</si>
  <si>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</si>
  <si>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</si>
  <si>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</si>
  <si>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</si>
  <si>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</si>
  <si>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</si>
  <si>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</si>
  <si>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</si>
  <si>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</si>
  <si>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</si>
  <si>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</si>
  <si>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</si>
  <si>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</si>
  <si>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</si>
  <si>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</si>
  <si>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</si>
  <si>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</si>
  <si>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</si>
  <si>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</si>
  <si>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</si>
  <si>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</si>
  <si>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</si>
  <si>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</si>
  <si>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</si>
  <si>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</si>
  <si>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</si>
  <si>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</si>
  <si>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</si>
  <si>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</si>
  <si>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</si>
  <si>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</si>
  <si>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</si>
  <si>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</si>
  <si>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</si>
  <si>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</si>
  <si>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</si>
  <si>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</si>
  <si>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</si>
  <si>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</si>
  <si>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</si>
  <si>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</si>
  <si>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</si>
  <si>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</si>
  <si>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</si>
  <si>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</si>
  <si>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</si>
  <si>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</si>
  <si>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</si>
  <si>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</si>
  <si>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</si>
  <si>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</si>
  <si>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</si>
  <si>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</si>
  <si>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</si>
  <si>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</si>
  <si>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</si>
  <si>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</si>
  <si>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</si>
  <si>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</si>
  <si>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</si>
  <si>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</si>
  <si>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</si>
  <si>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</si>
  <si>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</si>
  <si>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</si>
  <si>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</si>
  <si>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</si>
  <si>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</si>
  <si>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</si>
  <si>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</si>
  <si>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</si>
  <si>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</si>
  <si>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</si>
  <si>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</si>
  <si>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</si>
  <si>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</si>
  <si>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</si>
  <si>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</si>
  <si>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</si>
  <si>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</si>
  <si>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</si>
  <si>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</si>
  <si>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</si>
  <si>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</si>
  <si>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</si>
  <si>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</si>
  <si>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</si>
  <si>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</si>
  <si>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</si>
  <si>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</si>
  <si>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</si>
  <si>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</si>
  <si>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</si>
  <si>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</si>
  <si>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</si>
  <si>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</si>
  <si>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</si>
  <si>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</si>
  <si>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</si>
  <si>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</si>
  <si>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</si>
  <si>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</si>
  <si>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</si>
  <si>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</si>
  <si>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</si>
  <si>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</si>
  <si>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</si>
  <si>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</si>
  <si>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</si>
  <si>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</si>
  <si>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</si>
  <si>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</si>
  <si>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</si>
  <si>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Conversion (Power Sector)</t>
  </si>
  <si>
    <t>ELC template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</si>
  <si>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</si>
  <si>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</si>
  <si>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</si>
  <si>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</si>
  <si>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</si>
  <si>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</si>
  <si>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</si>
  <si>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</si>
  <si>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</si>
  <si>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</si>
  <si>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</si>
  <si>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</si>
  <si>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</si>
  <si>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</si>
  <si>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 Investment Capacity</t>
  </si>
  <si>
    <t>AFA</t>
  </si>
  <si>
    <t>M$2021</t>
  </si>
  <si>
    <t>PASTI~2005</t>
  </si>
  <si>
    <t>PASTI~2015</t>
  </si>
  <si>
    <t>PASTI~20220</t>
  </si>
  <si>
    <t>F</t>
  </si>
  <si>
    <t>V</t>
  </si>
  <si>
    <t>ANNUAL</t>
  </si>
  <si>
    <t>STOCK~2050</t>
  </si>
  <si>
    <t>STOCK~2030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</si>
</sst>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00"/>
    <numFmt numFmtId="166" formatCode="General_)"/>
    <numFmt numFmtId="167" formatCode="0.0"/>
    <numFmt numFmtId="168" formatCode="\Te\x\t"/>
  </numFmts>
  <fonts count="31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8"/>
      <name val="Arial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16" applyNumberFormat="0" applyAlignment="0" applyProtection="0"/>
    <xf numFmtId="164" fontId="14" fillId="0" borderId="0" applyFont="0" applyFill="0" applyBorder="0" applyAlignment="0" applyProtection="0"/>
    <xf numFmtId="0" fontId="17" fillId="8" borderId="0" applyNumberFormat="0" applyBorder="0" applyAlignment="0" applyProtection="0"/>
    <xf numFmtId="0" fontId="18" fillId="9" borderId="16" applyNumberFormat="0" applyAlignment="0" applyProtection="0"/>
    <xf numFmtId="0" fontId="19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07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5" fillId="6" borderId="0" xfId="3"/>
    <xf numFmtId="0" fontId="20" fillId="0" borderId="0" xfId="6" applyFont="1" applyFill="1"/>
    <xf numFmtId="0" fontId="20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1" fillId="4" borderId="2" xfId="1" applyFont="1" applyBorder="1" applyAlignment="1">
      <alignment horizontal="center" wrapText="1"/>
    </xf>
    <xf numFmtId="0" fontId="21" fillId="4" borderId="2" xfId="1" applyFont="1" applyBorder="1" applyAlignment="1">
      <alignment horizontal="left" wrapText="1"/>
    </xf>
    <xf numFmtId="0" fontId="21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20" fillId="11" borderId="0" xfId="6" applyFont="1" applyFill="1" applyAlignment="1">
      <alignment wrapText="1"/>
    </xf>
    <xf numFmtId="0" fontId="22" fillId="0" borderId="0" xfId="0" applyFont="1"/>
    <xf numFmtId="0" fontId="15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3" fillId="0" borderId="0" xfId="6" applyFont="1" applyFill="1"/>
    <xf numFmtId="0" fontId="24" fillId="0" borderId="0" xfId="3" applyFont="1" applyFill="1" applyAlignment="1">
      <alignment wrapText="1"/>
    </xf>
    <xf numFmtId="0" fontId="26" fillId="0" borderId="0" xfId="2" applyFont="1" applyFill="1" applyBorder="1" applyAlignment="1">
      <alignment horizontal="right" wrapText="1"/>
    </xf>
    <xf numFmtId="0" fontId="21" fillId="0" borderId="0" xfId="2" applyFont="1" applyFill="1" applyBorder="1" applyAlignment="1">
      <alignment horizontal="right" wrapText="1"/>
    </xf>
    <xf numFmtId="1" fontId="25" fillId="0" borderId="0" xfId="2" applyNumberFormat="1" applyFont="1" applyFill="1" applyBorder="1" applyAlignment="1">
      <alignment horizontal="right" wrapText="1"/>
    </xf>
    <xf numFmtId="0" fontId="21" fillId="5" borderId="4" xfId="2" applyFont="1" applyBorder="1" applyAlignment="1">
      <alignment wrapText="1"/>
    </xf>
    <xf numFmtId="0" fontId="15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0" borderId="0" xfId="11" applyFont="1" applyAlignment="1">
      <alignment horizontal="left" vertical="center"/>
    </xf>
    <xf numFmtId="0" fontId="3" fillId="2" borderId="2" xfId="11" applyFont="1" applyFill="1" applyBorder="1" applyAlignment="1">
      <alignment horizontal="left" vertical="center"/>
    </xf>
    <xf numFmtId="0" fontId="27" fillId="0" borderId="0" xfId="0" applyFont="1"/>
    <xf numFmtId="0" fontId="20" fillId="11" borderId="0" xfId="6" applyFont="1" applyFill="1" applyAlignment="1">
      <alignment horizontal="left"/>
    </xf>
    <xf numFmtId="0" fontId="27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7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8" fillId="9" borderId="0" xfId="7" applyNumberFormat="1" applyBorder="1" applyAlignment="1"/>
    <xf numFmtId="1" fontId="18" fillId="9" borderId="5" xfId="7" applyNumberFormat="1" applyBorder="1" applyAlignment="1"/>
    <xf numFmtId="166" fontId="16" fillId="7" borderId="6" xfId="4" applyNumberFormat="1" applyBorder="1" applyAlignment="1">
      <alignment horizontal="right" vertical="center"/>
    </xf>
    <xf numFmtId="1" fontId="16" fillId="7" borderId="17" xfId="4" applyNumberFormat="1" applyBorder="1" applyAlignment="1">
      <alignment horizontal="right"/>
    </xf>
    <xf numFmtId="1" fontId="16" fillId="7" borderId="18" xfId="4" applyNumberFormat="1" applyBorder="1" applyAlignment="1">
      <alignment horizontal="right"/>
    </xf>
    <xf numFmtId="1" fontId="16" fillId="7" borderId="19" xfId="4" applyNumberFormat="1" applyBorder="1" applyAlignment="1">
      <alignment horizontal="right"/>
    </xf>
    <xf numFmtId="166" fontId="9" fillId="14" borderId="7" xfId="0" applyNumberFormat="1" applyFont="1" applyFill="1" applyBorder="1" applyAlignment="1">
      <alignment horizontal="left" vertical="center"/>
    </xf>
    <xf numFmtId="166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6" fontId="9" fillId="15" borderId="10" xfId="0" applyNumberFormat="1" applyFont="1" applyFill="1" applyBorder="1" applyAlignment="1">
      <alignment horizontal="center" vertical="center"/>
    </xf>
    <xf numFmtId="0" fontId="27" fillId="13" borderId="9" xfId="0" applyFont="1" applyFill="1" applyBorder="1" applyAlignment="1">
      <alignment wrapText="1"/>
    </xf>
    <xf numFmtId="0" fontId="27" fillId="13" borderId="11" xfId="0" applyFont="1" applyFill="1" applyBorder="1" applyAlignment="1">
      <alignment wrapText="1"/>
    </xf>
    <xf numFmtId="0" fontId="27" fillId="13" borderId="6" xfId="0" applyFont="1" applyFill="1" applyBorder="1" applyAlignment="1">
      <alignment wrapText="1"/>
    </xf>
    <xf numFmtId="0" fontId="28" fillId="6" borderId="1" xfId="3" applyFont="1" applyBorder="1" applyAlignment="1">
      <alignment horizontal="left" vertical="center"/>
    </xf>
    <xf numFmtId="0" fontId="0" fillId="16" borderId="0" xfId="0" applyFill="1"/>
    <xf numFmtId="167" fontId="0" fillId="16" borderId="0" xfId="0" applyNumberFormat="1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29" fillId="0" borderId="0" xfId="0" applyFont="1"/>
    <xf numFmtId="0" fontId="3" fillId="17" borderId="0" xfId="0" applyFont="1" applyFill="1"/>
    <xf numFmtId="0" fontId="3" fillId="2" borderId="3" xfId="11" applyFont="1" applyFill="1" applyBorder="1" applyAlignment="1">
      <alignment horizontal="center" vertical="center" wrapText="1"/>
    </xf>
    <xf numFmtId="0" fontId="21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6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0" fillId="17" borderId="0" xfId="0" applyFill="1"/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166" fontId="9" fillId="15" borderId="13" xfId="0" applyNumberFormat="1" applyFont="1" applyFill="1" applyBorder="1" applyAlignment="1">
      <alignment horizontal="center" vertical="center"/>
    </xf>
    <xf numFmtId="166" fontId="9" fillId="15" borderId="14" xfId="0" applyNumberFormat="1" applyFont="1" applyFill="1" applyBorder="1" applyAlignment="1">
      <alignment horizontal="center" vertical="center"/>
    </xf>
    <xf numFmtId="1" fontId="18" fillId="0" borderId="0" xfId="7" applyNumberFormat="1" applyFill="1" applyBorder="1" applyAlignment="1"/>
    <xf numFmtId="165" fontId="0" fillId="0" borderId="0" xfId="0" applyNumberFormat="1"/>
    <xf numFmtId="1" fontId="4" fillId="0" borderId="0" xfId="9" applyNumberFormat="1"/>
    <xf numFmtId="1" fontId="21" fillId="0" borderId="0" xfId="2" applyNumberFormat="1" applyFont="1" applyFill="1" applyBorder="1" applyAlignment="1">
      <alignment horizontal="right" wrapText="1"/>
    </xf>
    <xf numFmtId="0" fontId="26" fillId="5" borderId="4" xfId="2" applyFont="1" applyBorder="1" applyAlignment="1">
      <alignment horizontal="center" wrapText="1"/>
    </xf>
    <xf numFmtId="0" fontId="21" fillId="12" borderId="2" xfId="2" applyFont="1" applyFill="1" applyBorder="1" applyAlignment="1">
      <alignment horizontal="center" wrapText="1"/>
    </xf>
    <xf numFmtId="167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1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1" fillId="4" borderId="2" xfId="1" applyNumberFormat="1" applyFont="1" applyBorder="1" applyAlignment="1">
      <alignment horizontal="center" wrapText="1"/>
    </xf>
    <xf numFmtId="168" fontId="4" fillId="0" borderId="0" xfId="9" applyNumberFormat="1"/>
    <xf numFmtId="165" fontId="0" fillId="14" borderId="0" xfId="0" applyNumberFormat="1" applyFill="1"/>
    <xf numFmtId="2" fontId="25" fillId="12" borderId="0" xfId="2" applyNumberFormat="1" applyFont="1" applyFill="1" applyBorder="1" applyAlignment="1">
      <alignment horizontal="right" wrapText="1"/>
    </xf>
    <xf numFmtId="2" fontId="4" fillId="0" borderId="0" xfId="9" applyNumberFormat="1"/>
    <xf numFmtId="2" fontId="0" fillId="16" borderId="0" xfId="0" applyNumberFormat="1" applyFill="1"/>
    <xf numFmtId="0" fontId="1" fillId="0" borderId="0" xfId="9" applyFont="1"/>
    <xf numFmtId="168" fontId="1" fillId="0" borderId="0" xfId="0" applyNumberFormat="1" applyFont="1"/>
    <xf numFmtId="0" fontId="12" fillId="0" borderId="9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11" xfId="0" applyFont="1" applyBorder="1" applyAlignment="1">
      <alignment horizontal="center"/>
    </xf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6975" name="Picture 6">
          <a:extLst>
            <a:ext uri="{FF2B5EF4-FFF2-40B4-BE49-F238E27FC236}">
              <a16:creationId xmlns:a16="http://schemas.microsoft.com/office/drawing/2014/main" id="{07B54768-2264-459D-AAAF-4E7CAD468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96202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116</xdr:row>
      <xdr:rowOff>9525</xdr:rowOff>
    </xdr:from>
    <xdr:to>
      <xdr:col>10</xdr:col>
      <xdr:colOff>361950</xdr:colOff>
      <xdr:row>127</xdr:row>
      <xdr:rowOff>133350</xdr:rowOff>
    </xdr:to>
    <xdr:pic>
      <xdr:nvPicPr>
        <xdr:cNvPr id="56976" name="Picture 8">
          <a:extLst>
            <a:ext uri="{FF2B5EF4-FFF2-40B4-BE49-F238E27FC236}">
              <a16:creationId xmlns:a16="http://schemas.microsoft.com/office/drawing/2014/main" id="{092998F4-DAF5-4AB5-A34B-DFA9CC7FF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8926175"/>
          <a:ext cx="4019550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15</xdr:col>
      <xdr:colOff>66675</xdr:colOff>
      <xdr:row>30</xdr:row>
      <xdr:rowOff>19050</xdr:rowOff>
    </xdr:to>
    <xdr:pic>
      <xdr:nvPicPr>
        <xdr:cNvPr id="56977" name="Picture 4">
          <a:extLst>
            <a:ext uri="{FF2B5EF4-FFF2-40B4-BE49-F238E27FC236}">
              <a16:creationId xmlns:a16="http://schemas.microsoft.com/office/drawing/2014/main" id="{AD288841-D70D-4C2E-9A6A-06C46B032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104900"/>
          <a:ext cx="6524625" cy="390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29</xdr:row>
      <xdr:rowOff>133350</xdr:rowOff>
    </xdr:from>
    <xdr:to>
      <xdr:col>9</xdr:col>
      <xdr:colOff>295275</xdr:colOff>
      <xdr:row>35</xdr:row>
      <xdr:rowOff>114300</xdr:rowOff>
    </xdr:to>
    <xdr:pic>
      <xdr:nvPicPr>
        <xdr:cNvPr id="56978" name="Picture 5">
          <a:extLst>
            <a:ext uri="{FF2B5EF4-FFF2-40B4-BE49-F238E27FC236}">
              <a16:creationId xmlns:a16="http://schemas.microsoft.com/office/drawing/2014/main" id="{F7EDBE9C-2FFC-4928-AE9B-DF9BBBDE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4962525"/>
          <a:ext cx="334327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27</xdr:row>
      <xdr:rowOff>9524</xdr:rowOff>
    </xdr:from>
    <xdr:to>
      <xdr:col>14</xdr:col>
      <xdr:colOff>407670</xdr:colOff>
      <xdr:row>33</xdr:row>
      <xdr:rowOff>19049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49339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24974</xdr:colOff>
      <xdr:row>20</xdr:row>
      <xdr:rowOff>8678</xdr:rowOff>
    </xdr:from>
    <xdr:to>
      <xdr:col>27</xdr:col>
      <xdr:colOff>137563</xdr:colOff>
      <xdr:row>28</xdr:row>
      <xdr:rowOff>1090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0692974" y="4231428"/>
          <a:ext cx="6483756" cy="12624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My%20Drive\001_Academic\002_Course_Works\003_2026_Sping_Semester\003_Low-Carbon%20Technologies%20and%20Policies\000_ICP_BL\006_Cambodia_TIMES_Model_V002\KHM_TIMES_20260602_V002\EnergyBalance.xls" TargetMode="External"/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0">
          <cell r="D10">
            <v>-0.22444429968000001</v>
          </cell>
          <cell r="E10">
            <v>0</v>
          </cell>
          <cell r="F10">
            <v>0</v>
          </cell>
          <cell r="G10">
            <v>0</v>
          </cell>
          <cell r="H10">
            <v>-1.8003240000000001E-3</v>
          </cell>
          <cell r="I10">
            <v>0</v>
          </cell>
          <cell r="J10">
            <v>0</v>
          </cell>
          <cell r="K10">
            <v>0</v>
          </cell>
          <cell r="L10">
            <v>-2.737915992E-2</v>
          </cell>
          <cell r="M10">
            <v>0</v>
          </cell>
          <cell r="N10">
            <v>0</v>
          </cell>
          <cell r="O10">
            <v>1.6454124000000001E-3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-0.2519783712</v>
          </cell>
        </row>
        <row r="11">
          <cell r="D11">
            <v>-37.407383280000005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-4.5631933199999999</v>
          </cell>
          <cell r="M11">
            <v>0</v>
          </cell>
          <cell r="N11">
            <v>0</v>
          </cell>
          <cell r="O11">
            <v>0.27423540000000002</v>
          </cell>
          <cell r="P11">
            <v>-18.38716956</v>
          </cell>
          <cell r="Q11">
            <v>0</v>
          </cell>
          <cell r="R11">
            <v>-2.2010007600000003</v>
          </cell>
          <cell r="S11">
            <v>0</v>
          </cell>
          <cell r="T11">
            <v>0</v>
          </cell>
          <cell r="U11">
            <v>36.392921640000004</v>
          </cell>
          <cell r="V11">
            <v>-25.891589879999991</v>
          </cell>
        </row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-1.9552356000000003E-2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-1.9552356000000003E-2</v>
          </cell>
        </row>
        <row r="13"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AA17"/>
  <sheetViews>
    <sheetView topLeftCell="B1" zoomScale="80" zoomScaleNormal="80" workbookViewId="0">
      <selection activeCell="J17" sqref="J17"/>
    </sheetView>
  </sheetViews>
  <sheetFormatPr defaultRowHeight="13.2" x14ac:dyDescent="0.25"/>
  <cols>
    <col min="1" max="1" width="3" bestFit="1" customWidth="1"/>
    <col min="2" max="2" width="20.5546875" bestFit="1" customWidth="1"/>
    <col min="3" max="3" width="41.109375" bestFit="1" customWidth="1"/>
    <col min="4" max="7" width="10.88671875" customWidth="1"/>
    <col min="8" max="8" width="12.109375" customWidth="1"/>
    <col min="9" max="12" width="10.88671875" customWidth="1"/>
    <col min="13" max="13" width="17.88671875" bestFit="1" customWidth="1"/>
    <col min="14" max="21" width="10.88671875" customWidth="1"/>
    <col min="22" max="22" width="7.33203125" bestFit="1" customWidth="1"/>
    <col min="23" max="23" width="2" bestFit="1" customWidth="1"/>
    <col min="24" max="24" width="12.5546875" bestFit="1" customWidth="1"/>
    <col min="26" max="26" width="6.6640625" bestFit="1" customWidth="1"/>
    <col min="27" max="27" width="9.33203125" bestFit="1" customWidth="1"/>
  </cols>
  <sheetData>
    <row r="1" spans="2:27" x14ac:dyDescent="0.25">
      <c r="X1" s="19" t="s">
        <v>78</v>
      </c>
      <c r="Y1" s="1" t="s">
        <v>79</v>
      </c>
      <c r="Z1" s="1" t="s">
        <v>80</v>
      </c>
      <c r="AA1" s="1" t="s">
        <v>86</v>
      </c>
    </row>
    <row r="2" spans="2:27" ht="15.6" x14ac:dyDescent="0.3">
      <c r="D2" s="39" t="s">
        <v>42</v>
      </c>
      <c r="E2" s="39" t="s">
        <v>43</v>
      </c>
      <c r="F2" s="39" t="s">
        <v>44</v>
      </c>
      <c r="G2" s="39" t="s">
        <v>124</v>
      </c>
      <c r="H2" s="39" t="s">
        <v>125</v>
      </c>
      <c r="I2" s="39" t="s">
        <v>126</v>
      </c>
      <c r="J2" s="39" t="s">
        <v>127</v>
      </c>
      <c r="K2" s="39" t="s">
        <v>128</v>
      </c>
      <c r="L2" s="39" t="s">
        <v>129</v>
      </c>
      <c r="M2" s="39" t="s">
        <v>130</v>
      </c>
      <c r="N2" s="39" t="s">
        <v>45</v>
      </c>
      <c r="O2" s="39" t="s">
        <v>153</v>
      </c>
      <c r="P2" s="39" t="s">
        <v>149</v>
      </c>
      <c r="Q2" s="39" t="s">
        <v>154</v>
      </c>
      <c r="R2" s="39" t="s">
        <v>155</v>
      </c>
      <c r="S2" s="39" t="s">
        <v>46</v>
      </c>
      <c r="T2" s="39" t="s">
        <v>47</v>
      </c>
      <c r="U2" s="39" t="s">
        <v>48</v>
      </c>
      <c r="V2" s="39" t="s">
        <v>148</v>
      </c>
      <c r="Y2" s="38" t="s">
        <v>163</v>
      </c>
      <c r="Z2" s="10" t="s">
        <v>68</v>
      </c>
      <c r="AA2" s="10" t="s">
        <v>87</v>
      </c>
    </row>
    <row r="3" spans="2:27" ht="26.4" x14ac:dyDescent="0.25">
      <c r="C3" s="58" t="s">
        <v>120</v>
      </c>
      <c r="D3" s="40" t="s">
        <v>49</v>
      </c>
      <c r="E3" s="40" t="s">
        <v>50</v>
      </c>
      <c r="F3" s="40" t="s">
        <v>123</v>
      </c>
      <c r="G3" s="40" t="s">
        <v>136</v>
      </c>
      <c r="H3" s="40" t="s">
        <v>133</v>
      </c>
      <c r="I3" s="40" t="s">
        <v>126</v>
      </c>
      <c r="J3" s="40" t="s">
        <v>134</v>
      </c>
      <c r="K3" s="40" t="s">
        <v>135</v>
      </c>
      <c r="L3" s="40" t="s">
        <v>131</v>
      </c>
      <c r="M3" s="40" t="s">
        <v>132</v>
      </c>
      <c r="N3" s="40" t="s">
        <v>51</v>
      </c>
      <c r="O3" s="40" t="s">
        <v>156</v>
      </c>
      <c r="P3" s="40" t="s">
        <v>150</v>
      </c>
      <c r="Q3" s="40" t="s">
        <v>151</v>
      </c>
      <c r="R3" s="40" t="s">
        <v>152</v>
      </c>
      <c r="S3" s="40" t="s">
        <v>52</v>
      </c>
      <c r="T3" s="40" t="s">
        <v>53</v>
      </c>
      <c r="U3" s="40" t="s">
        <v>74</v>
      </c>
      <c r="V3" s="40" t="s">
        <v>54</v>
      </c>
    </row>
    <row r="4" spans="2:27" x14ac:dyDescent="0.25">
      <c r="B4" s="37"/>
      <c r="C4" s="73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74"/>
    </row>
    <row r="5" spans="2:27" x14ac:dyDescent="0.25">
      <c r="B5" s="41" t="s">
        <v>56</v>
      </c>
      <c r="C5" s="50" t="s">
        <v>57</v>
      </c>
      <c r="D5" s="42">
        <f>[2]EB1!D10</f>
        <v>-0.22444429968000001</v>
      </c>
      <c r="E5" s="42">
        <f>[2]EB1!E10</f>
        <v>0</v>
      </c>
      <c r="F5" s="42">
        <f>[2]EB1!F10</f>
        <v>0</v>
      </c>
      <c r="G5" s="42">
        <f>[2]EB1!G10</f>
        <v>0</v>
      </c>
      <c r="H5" s="42">
        <f>[2]EB1!H10</f>
        <v>-1.8003240000000001E-3</v>
      </c>
      <c r="I5" s="42">
        <f>[2]EB1!I10</f>
        <v>0</v>
      </c>
      <c r="J5" s="42">
        <f>[2]EB1!J10</f>
        <v>0</v>
      </c>
      <c r="K5" s="42">
        <f>[2]EB1!K10</f>
        <v>0</v>
      </c>
      <c r="L5" s="42">
        <f>[2]EB1!L10</f>
        <v>-2.737915992E-2</v>
      </c>
      <c r="M5" s="42">
        <f>[2]EB1!M10</f>
        <v>0</v>
      </c>
      <c r="N5" s="42">
        <f>[2]EB1!N10</f>
        <v>0</v>
      </c>
      <c r="O5" s="42">
        <f>[2]EB1!O10</f>
        <v>1.6454124000000001E-3</v>
      </c>
      <c r="P5" s="42">
        <f>[2]EB1!P10</f>
        <v>0</v>
      </c>
      <c r="Q5" s="42">
        <f>[2]EB1!Q10</f>
        <v>0</v>
      </c>
      <c r="R5" s="42">
        <f>[2]EB1!R10</f>
        <v>0</v>
      </c>
      <c r="S5" s="42">
        <f>[2]EB1!S10</f>
        <v>0</v>
      </c>
      <c r="T5" s="42">
        <f>[2]EB1!T10</f>
        <v>0</v>
      </c>
      <c r="U5" s="42">
        <f>[2]EB1!U10</f>
        <v>0</v>
      </c>
      <c r="V5" s="75">
        <f>[2]EB1!V10</f>
        <v>-0.2519783712</v>
      </c>
    </row>
    <row r="6" spans="2:27" ht="14.4" x14ac:dyDescent="0.3">
      <c r="B6" s="41" t="s">
        <v>48</v>
      </c>
      <c r="C6" s="51" t="s">
        <v>58</v>
      </c>
      <c r="D6" s="45">
        <f>[2]EB1!D11</f>
        <v>-37.407383280000005</v>
      </c>
      <c r="E6" s="44">
        <f>[2]EB1!E11</f>
        <v>0</v>
      </c>
      <c r="F6" s="44">
        <f>[2]EB1!F11</f>
        <v>0</v>
      </c>
      <c r="G6" s="44">
        <f>[2]EB1!G11</f>
        <v>0</v>
      </c>
      <c r="H6" s="44">
        <f>[2]EB1!H11</f>
        <v>0</v>
      </c>
      <c r="I6" s="44">
        <f>[2]EB1!I11</f>
        <v>0</v>
      </c>
      <c r="J6" s="44">
        <f>[2]EB1!J11</f>
        <v>0</v>
      </c>
      <c r="K6" s="44">
        <f>[2]EB1!K11</f>
        <v>0</v>
      </c>
      <c r="L6" s="44">
        <f>[2]EB1!L11</f>
        <v>-4.5631933199999999</v>
      </c>
      <c r="M6" s="44">
        <f>[2]EB1!M11</f>
        <v>0</v>
      </c>
      <c r="N6" s="44">
        <f>[2]EB1!N11</f>
        <v>0</v>
      </c>
      <c r="O6" s="44">
        <f>[2]EB1!O11</f>
        <v>0.27423540000000002</v>
      </c>
      <c r="P6" s="44">
        <f>[2]EB1!P11</f>
        <v>-18.38716956</v>
      </c>
      <c r="Q6" s="44">
        <f>[2]EB1!Q11</f>
        <v>0</v>
      </c>
      <c r="R6" s="44">
        <f>[2]EB1!R11</f>
        <v>-2.2010007600000003</v>
      </c>
      <c r="S6" s="42">
        <f>[2]EB1!S11</f>
        <v>0</v>
      </c>
      <c r="T6" s="42">
        <f>[2]EB1!T11</f>
        <v>0</v>
      </c>
      <c r="U6" s="44">
        <f>[2]EB1!U11</f>
        <v>36.392921640000004</v>
      </c>
      <c r="V6" s="75">
        <f>[2]EB1!V11</f>
        <v>-25.891589879999991</v>
      </c>
      <c r="X6" s="82"/>
    </row>
    <row r="7" spans="2:27" x14ac:dyDescent="0.25">
      <c r="B7" s="41" t="s">
        <v>59</v>
      </c>
      <c r="C7" s="51" t="s">
        <v>60</v>
      </c>
      <c r="D7" s="42">
        <f>[2]EB1!D12</f>
        <v>0</v>
      </c>
      <c r="E7" s="42">
        <f>[2]EB1!E12</f>
        <v>0</v>
      </c>
      <c r="F7" s="42">
        <f>[2]EB1!F12</f>
        <v>0</v>
      </c>
      <c r="G7" s="42">
        <f>[2]EB1!G12</f>
        <v>0</v>
      </c>
      <c r="H7" s="42">
        <f>[2]EB1!H12</f>
        <v>0</v>
      </c>
      <c r="I7" s="42">
        <f>[2]EB1!I12</f>
        <v>-1.9552356000000003E-2</v>
      </c>
      <c r="J7" s="42">
        <f>[2]EB1!J12</f>
        <v>0</v>
      </c>
      <c r="K7" s="42">
        <f>[2]EB1!K12</f>
        <v>0</v>
      </c>
      <c r="L7" s="42">
        <f>[2]EB1!L12</f>
        <v>0</v>
      </c>
      <c r="M7" s="42">
        <f>[2]EB1!M12</f>
        <v>0</v>
      </c>
      <c r="N7" s="42">
        <f>[2]EB1!N12</f>
        <v>0</v>
      </c>
      <c r="O7" s="42">
        <f>[2]EB1!O12</f>
        <v>0</v>
      </c>
      <c r="P7" s="42">
        <f>[2]EB1!P12</f>
        <v>0</v>
      </c>
      <c r="Q7" s="42">
        <f>[2]EB1!Q12</f>
        <v>0</v>
      </c>
      <c r="R7" s="42">
        <f>[2]EB1!R12</f>
        <v>0</v>
      </c>
      <c r="S7" s="42">
        <f>[2]EB1!S12</f>
        <v>0</v>
      </c>
      <c r="T7" s="42">
        <f>[2]EB1!T12</f>
        <v>0</v>
      </c>
      <c r="U7" s="42">
        <f>[2]EB1!U12</f>
        <v>0</v>
      </c>
      <c r="V7" s="75">
        <f>[2]EB1!V12</f>
        <v>-1.9552356000000003E-2</v>
      </c>
    </row>
    <row r="8" spans="2:27" x14ac:dyDescent="0.25">
      <c r="B8" s="41" t="s">
        <v>61</v>
      </c>
      <c r="C8" s="51" t="s">
        <v>62</v>
      </c>
      <c r="D8" s="42">
        <f>[2]EB1!D13</f>
        <v>0</v>
      </c>
      <c r="E8" s="42">
        <f>[2]EB1!E13</f>
        <v>0</v>
      </c>
      <c r="F8" s="42">
        <f>[2]EB1!F13</f>
        <v>0</v>
      </c>
      <c r="G8" s="42">
        <f>[2]EB1!G13</f>
        <v>0</v>
      </c>
      <c r="H8" s="42">
        <f>[2]EB1!H13</f>
        <v>0</v>
      </c>
      <c r="I8" s="42">
        <f>[2]EB1!I13</f>
        <v>0</v>
      </c>
      <c r="J8" s="42">
        <f>[2]EB1!J13</f>
        <v>0</v>
      </c>
      <c r="K8" s="42">
        <f>[2]EB1!K13</f>
        <v>0</v>
      </c>
      <c r="L8" s="42">
        <f>[2]EB1!L13</f>
        <v>0</v>
      </c>
      <c r="M8" s="42">
        <f>[2]EB1!M13</f>
        <v>0</v>
      </c>
      <c r="N8" s="42">
        <f>[2]EB1!N13</f>
        <v>0</v>
      </c>
      <c r="O8" s="42">
        <f>[2]EB1!O13</f>
        <v>0</v>
      </c>
      <c r="P8" s="42">
        <f>[2]EB1!P13</f>
        <v>0</v>
      </c>
      <c r="Q8" s="42">
        <f>[2]EB1!Q13</f>
        <v>0</v>
      </c>
      <c r="R8" s="42">
        <f>[2]EB1!R13</f>
        <v>0</v>
      </c>
      <c r="S8" s="42">
        <f>[2]EB1!S13</f>
        <v>0</v>
      </c>
      <c r="T8" s="42">
        <f>[2]EB1!T13</f>
        <v>0</v>
      </c>
      <c r="U8" s="42">
        <f>[2]EB1!U13</f>
        <v>0</v>
      </c>
      <c r="V8" s="75">
        <f>[2]EB1!V13</f>
        <v>0</v>
      </c>
    </row>
    <row r="9" spans="2:27" ht="14.4" x14ac:dyDescent="0.3">
      <c r="B9" s="37"/>
      <c r="C9" s="46" t="s">
        <v>63</v>
      </c>
      <c r="D9" s="49">
        <f>SUM(D5:D8)</f>
        <v>-37.631827579680007</v>
      </c>
      <c r="E9" s="47">
        <f t="shared" ref="E9:U9" si="0">SUM(E5:E8)</f>
        <v>0</v>
      </c>
      <c r="F9" s="47">
        <f t="shared" si="0"/>
        <v>0</v>
      </c>
      <c r="G9" s="47">
        <f t="shared" si="0"/>
        <v>0</v>
      </c>
      <c r="H9" s="47">
        <f t="shared" si="0"/>
        <v>-1.8003240000000001E-3</v>
      </c>
      <c r="I9" s="47">
        <f t="shared" si="0"/>
        <v>-1.9552356000000003E-2</v>
      </c>
      <c r="J9" s="47">
        <f t="shared" si="0"/>
        <v>0</v>
      </c>
      <c r="K9" s="47">
        <f t="shared" si="0"/>
        <v>0</v>
      </c>
      <c r="L9" s="47">
        <f t="shared" si="0"/>
        <v>-4.5905724799199996</v>
      </c>
      <c r="M9" s="47">
        <f t="shared" si="0"/>
        <v>0</v>
      </c>
      <c r="N9" s="47">
        <f t="shared" si="0"/>
        <v>0</v>
      </c>
      <c r="O9" s="47">
        <f t="shared" si="0"/>
        <v>0.27588081240000001</v>
      </c>
      <c r="P9" s="47">
        <f t="shared" si="0"/>
        <v>-18.38716956</v>
      </c>
      <c r="Q9" s="47">
        <f t="shared" si="0"/>
        <v>0</v>
      </c>
      <c r="R9" s="47">
        <f t="shared" si="0"/>
        <v>-2.2010007600000003</v>
      </c>
      <c r="S9" s="47">
        <f t="shared" si="0"/>
        <v>0</v>
      </c>
      <c r="T9" s="47">
        <f t="shared" si="0"/>
        <v>0</v>
      </c>
      <c r="U9" s="47">
        <f t="shared" si="0"/>
        <v>36.392921640000004</v>
      </c>
      <c r="V9" s="48">
        <f>SUM(V5:V8)</f>
        <v>-26.163120607199989</v>
      </c>
    </row>
    <row r="10" spans="2:27" x14ac:dyDescent="0.25">
      <c r="D10" s="7"/>
      <c r="F10" s="7"/>
      <c r="G10" s="7"/>
      <c r="H10" s="7"/>
      <c r="I10" s="7"/>
      <c r="J10" s="7"/>
      <c r="K10" s="7"/>
      <c r="L10" s="7"/>
      <c r="M10" s="7"/>
    </row>
    <row r="11" spans="2:27" x14ac:dyDescent="0.25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83"/>
      <c r="Q11" s="83"/>
      <c r="R11" s="83"/>
    </row>
    <row r="12" spans="2:27" ht="14.4" x14ac:dyDescent="0.3">
      <c r="C12" s="44" t="s">
        <v>140</v>
      </c>
      <c r="D12" s="44"/>
      <c r="E12" s="44"/>
      <c r="F12" s="7"/>
      <c r="G12" s="7"/>
      <c r="H12" s="7"/>
      <c r="I12" s="7"/>
      <c r="J12" s="7"/>
      <c r="K12" s="7"/>
      <c r="L12" s="7"/>
      <c r="M12" s="7"/>
    </row>
    <row r="15" spans="2:27" x14ac:dyDescent="0.25">
      <c r="C15" s="55" t="s">
        <v>89</v>
      </c>
      <c r="D15" s="57" t="s">
        <v>90</v>
      </c>
      <c r="E15" s="56" t="s">
        <v>91</v>
      </c>
    </row>
    <row r="16" spans="2:27" x14ac:dyDescent="0.25">
      <c r="B16" s="19" t="s">
        <v>98</v>
      </c>
      <c r="C16" s="52" t="s">
        <v>92</v>
      </c>
      <c r="D16" s="52" t="s">
        <v>93</v>
      </c>
      <c r="E16" s="53" t="s">
        <v>91</v>
      </c>
    </row>
    <row r="17" spans="2:5" x14ac:dyDescent="0.25">
      <c r="B17" s="41" t="s">
        <v>48</v>
      </c>
      <c r="C17" s="80">
        <v>1</v>
      </c>
      <c r="D17" s="54"/>
      <c r="E17" s="81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5"/>
  <sheetViews>
    <sheetView zoomScale="80" zoomScaleNormal="80" workbookViewId="0">
      <selection activeCell="E7" sqref="E7"/>
    </sheetView>
  </sheetViews>
  <sheetFormatPr defaultRowHeight="13.2" x14ac:dyDescent="0.25"/>
  <cols>
    <col min="1" max="1" width="1.88671875" customWidth="1"/>
    <col min="2" max="2" width="7.6640625" customWidth="1"/>
    <col min="3" max="4" width="6.88671875" customWidth="1"/>
    <col min="14" max="14" width="5.44140625" customWidth="1"/>
  </cols>
  <sheetData>
    <row r="1" spans="2:13" x14ac:dyDescent="0.25">
      <c r="E1" s="1"/>
    </row>
    <row r="2" spans="2:13" ht="17.399999999999999" x14ac:dyDescent="0.3">
      <c r="B2" s="68" t="s">
        <v>144</v>
      </c>
    </row>
    <row r="4" spans="2:13" ht="17.399999999999999" x14ac:dyDescent="0.3">
      <c r="E4" s="104" t="s">
        <v>146</v>
      </c>
      <c r="F4" s="105"/>
      <c r="G4" s="105"/>
      <c r="H4" s="105"/>
      <c r="I4" s="105"/>
      <c r="J4" s="105"/>
      <c r="K4" s="105"/>
      <c r="L4" s="105"/>
      <c r="M4" s="106"/>
    </row>
    <row r="5" spans="2:13" ht="12.75" customHeight="1" x14ac:dyDescent="0.25">
      <c r="E5" s="69" t="s">
        <v>145</v>
      </c>
      <c r="F5" s="69"/>
      <c r="G5" s="69"/>
      <c r="H5" s="69"/>
      <c r="I5" s="77"/>
      <c r="J5" s="77"/>
      <c r="K5" s="77"/>
      <c r="L5" s="77"/>
      <c r="M5" s="77"/>
    </row>
  </sheetData>
  <mergeCells count="1">
    <mergeCell ref="E4:M4"/>
  </mergeCells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3"/>
  <sheetViews>
    <sheetView zoomScale="70" zoomScaleNormal="70" workbookViewId="0">
      <selection activeCell="V27" sqref="V27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1.6640625" bestFit="1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0"/>
    </row>
    <row r="2" spans="2:18" ht="31.2" x14ac:dyDescent="0.3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'EB1'!Z2</f>
        <v>PJ</v>
      </c>
      <c r="F2" s="10" t="str">
        <f>'EB1'!Y2</f>
        <v>M$2021</v>
      </c>
      <c r="G2" s="10" t="s">
        <v>84</v>
      </c>
      <c r="H2" s="9"/>
      <c r="J2" s="89" t="s">
        <v>14</v>
      </c>
      <c r="K2" s="89"/>
      <c r="L2" s="90"/>
      <c r="M2" s="90"/>
      <c r="N2" s="90"/>
      <c r="O2" s="90"/>
      <c r="P2" s="90"/>
      <c r="Q2" s="90"/>
      <c r="R2" s="90"/>
    </row>
    <row r="3" spans="2:18" x14ac:dyDescent="0.25">
      <c r="J3" s="91" t="s">
        <v>7</v>
      </c>
      <c r="K3" s="92" t="s">
        <v>30</v>
      </c>
      <c r="L3" s="91" t="s">
        <v>0</v>
      </c>
      <c r="M3" s="91" t="s">
        <v>3</v>
      </c>
      <c r="N3" s="91" t="s">
        <v>4</v>
      </c>
      <c r="O3" s="91" t="s">
        <v>8</v>
      </c>
      <c r="P3" s="91" t="s">
        <v>9</v>
      </c>
      <c r="Q3" s="91" t="s">
        <v>10</v>
      </c>
      <c r="R3" s="91" t="s">
        <v>12</v>
      </c>
    </row>
    <row r="4" spans="2:18" ht="22.2" thickBot="1" x14ac:dyDescent="0.35">
      <c r="B4" s="9"/>
      <c r="C4" s="9"/>
      <c r="D4" s="9"/>
      <c r="E4" s="9"/>
      <c r="G4" s="9"/>
      <c r="J4" s="93" t="s">
        <v>35</v>
      </c>
      <c r="K4" s="93" t="s">
        <v>31</v>
      </c>
      <c r="L4" s="93" t="s">
        <v>26</v>
      </c>
      <c r="M4" s="93" t="s">
        <v>27</v>
      </c>
      <c r="N4" s="93" t="s">
        <v>4</v>
      </c>
      <c r="O4" s="93" t="s">
        <v>38</v>
      </c>
      <c r="P4" s="93" t="s">
        <v>39</v>
      </c>
      <c r="Q4" s="93" t="s">
        <v>28</v>
      </c>
      <c r="R4" s="93" t="s">
        <v>29</v>
      </c>
    </row>
    <row r="5" spans="2:18" x14ac:dyDescent="0.25">
      <c r="E5" s="12"/>
      <c r="F5" s="12"/>
      <c r="G5" s="67"/>
      <c r="H5" s="11"/>
      <c r="J5" s="94" t="s">
        <v>64</v>
      </c>
      <c r="K5" s="94"/>
      <c r="L5" s="94" t="str">
        <f>$B$2&amp;'EB1'!$D$2</f>
        <v>ELCCOA</v>
      </c>
      <c r="M5" s="95" t="str">
        <f>$C$2&amp;" "&amp;'EB1'!$D$3</f>
        <v>Electricity Plants Solid Fuels</v>
      </c>
      <c r="N5" s="94" t="str">
        <f t="shared" ref="N5:N12" si="0">$E$2</f>
        <v>PJ</v>
      </c>
      <c r="O5" s="103"/>
      <c r="P5" s="103"/>
      <c r="Q5" s="94"/>
      <c r="R5" s="103"/>
    </row>
    <row r="6" spans="2:18" x14ac:dyDescent="0.25">
      <c r="E6" s="12"/>
      <c r="F6" s="12"/>
      <c r="G6" s="67"/>
      <c r="H6" s="11"/>
      <c r="J6" s="94" t="s">
        <v>64</v>
      </c>
      <c r="K6" s="94"/>
      <c r="L6" s="94" t="str">
        <f>$B$2&amp;'EB1'!$E$2</f>
        <v>ELCGAS</v>
      </c>
      <c r="M6" s="95" t="str">
        <f>$C$2&amp;" "&amp;'EB1'!$E$3</f>
        <v>Electricity Plants Natural Gas</v>
      </c>
      <c r="N6" s="94" t="str">
        <f t="shared" si="0"/>
        <v>PJ</v>
      </c>
      <c r="O6" s="94"/>
      <c r="P6" s="103"/>
      <c r="Q6" s="94"/>
      <c r="R6" s="94"/>
    </row>
    <row r="7" spans="2:18" x14ac:dyDescent="0.25">
      <c r="E7" s="12"/>
      <c r="F7" s="12"/>
      <c r="G7" s="67"/>
      <c r="H7" s="11"/>
      <c r="J7" s="94" t="s">
        <v>64</v>
      </c>
      <c r="K7" s="94"/>
      <c r="L7" s="94" t="str">
        <f>$B$2&amp;'EB1'!$F$2</f>
        <v>ELCOIL</v>
      </c>
      <c r="M7" s="95" t="str">
        <f>$C$2&amp;" "&amp;RIGHT('EB1'!$F$3,3)</f>
        <v>Electricity Plants oil</v>
      </c>
      <c r="N7" s="94" t="str">
        <f t="shared" si="0"/>
        <v>PJ</v>
      </c>
      <c r="O7" s="94"/>
      <c r="P7" s="103"/>
      <c r="Q7" s="94"/>
      <c r="R7" s="94"/>
    </row>
    <row r="8" spans="2:18" x14ac:dyDescent="0.25">
      <c r="E8" s="12"/>
      <c r="F8" s="12"/>
      <c r="G8" s="67"/>
      <c r="H8" s="11"/>
      <c r="J8" s="94" t="s">
        <v>64</v>
      </c>
      <c r="K8" s="94"/>
      <c r="L8" s="94" t="str">
        <f>$B$2&amp;'EB1'!$N$2</f>
        <v>ELCNUC</v>
      </c>
      <c r="M8" s="95" t="str">
        <f>$C$2&amp;" "&amp;'EB1'!$N$3</f>
        <v>Electricity Plants Nuclear Energy</v>
      </c>
      <c r="N8" s="94" t="str">
        <f t="shared" si="0"/>
        <v>PJ</v>
      </c>
      <c r="O8" s="94"/>
      <c r="P8" s="103"/>
      <c r="Q8" s="94"/>
      <c r="R8" s="94"/>
    </row>
    <row r="9" spans="2:18" x14ac:dyDescent="0.25">
      <c r="E9" s="12"/>
      <c r="F9" s="12"/>
      <c r="G9" s="67"/>
      <c r="H9" s="11"/>
      <c r="J9" s="94" t="s">
        <v>64</v>
      </c>
      <c r="K9" s="94"/>
      <c r="L9" s="94" t="str">
        <f>$B$2&amp;'EB1'!$O$2</f>
        <v>ELCBIO</v>
      </c>
      <c r="M9" s="95" t="str">
        <f>$C$2&amp;" "&amp;'EB1'!$O$3</f>
        <v>Electricity Plants Biomass</v>
      </c>
      <c r="N9" s="94" t="str">
        <f t="shared" si="0"/>
        <v>PJ</v>
      </c>
      <c r="O9" s="94"/>
      <c r="P9" s="103"/>
      <c r="Q9" s="94"/>
      <c r="R9" s="94"/>
    </row>
    <row r="10" spans="2:18" x14ac:dyDescent="0.25">
      <c r="E10" s="12"/>
      <c r="F10" s="12"/>
      <c r="G10" s="67"/>
      <c r="H10" s="11"/>
      <c r="J10" s="94" t="s">
        <v>64</v>
      </c>
      <c r="K10" s="94"/>
      <c r="L10" s="94" t="str">
        <f>$B$2&amp;'EB1'!$P$2</f>
        <v>ELCHYD</v>
      </c>
      <c r="M10" s="95" t="str">
        <f>$C$2&amp;" "&amp;'EB1'!$P$3</f>
        <v>Electricity Plants Hydro power</v>
      </c>
      <c r="N10" s="94" t="str">
        <f t="shared" si="0"/>
        <v>PJ</v>
      </c>
      <c r="O10" s="94"/>
      <c r="P10" s="103"/>
      <c r="Q10" s="94"/>
      <c r="R10" s="94"/>
    </row>
    <row r="11" spans="2:18" x14ac:dyDescent="0.25">
      <c r="E11" s="12"/>
      <c r="F11" s="12"/>
      <c r="G11" s="67"/>
      <c r="H11" s="11"/>
      <c r="J11" s="94" t="s">
        <v>64</v>
      </c>
      <c r="K11" s="94"/>
      <c r="L11" s="94" t="str">
        <f>$B$2&amp;'EB1'!$Q$2</f>
        <v>ELCWIN</v>
      </c>
      <c r="M11" s="95" t="str">
        <f>$C$2&amp;" "&amp;'EB1'!$Q$3</f>
        <v>Electricity Plants Wind energy</v>
      </c>
      <c r="N11" s="94" t="str">
        <f t="shared" si="0"/>
        <v>PJ</v>
      </c>
      <c r="O11" s="94"/>
      <c r="P11" s="103"/>
      <c r="Q11" s="94"/>
      <c r="R11" s="94"/>
    </row>
    <row r="12" spans="2:18" x14ac:dyDescent="0.25">
      <c r="E12" s="12"/>
      <c r="F12" s="12"/>
      <c r="G12" s="67"/>
      <c r="H12" s="11"/>
      <c r="J12" s="94" t="s">
        <v>64</v>
      </c>
      <c r="K12" s="94"/>
      <c r="L12" s="94" t="str">
        <f>$B$2&amp;'EB1'!$R$2</f>
        <v>ELCSOL</v>
      </c>
      <c r="M12" s="95" t="str">
        <f>$C$2&amp;" "&amp;'EB1'!$R$3</f>
        <v>Electricity Plants Solar energy</v>
      </c>
      <c r="N12" s="94" t="str">
        <f t="shared" si="0"/>
        <v>PJ</v>
      </c>
      <c r="O12" s="94"/>
      <c r="P12" s="103"/>
      <c r="Q12" s="94"/>
      <c r="R12" s="94"/>
    </row>
    <row r="13" spans="2:18" x14ac:dyDescent="0.25">
      <c r="L13" s="21"/>
      <c r="M13" s="22"/>
    </row>
    <row r="14" spans="2:18" x14ac:dyDescent="0.25">
      <c r="D14" s="4" t="s">
        <v>13</v>
      </c>
      <c r="E14" s="4"/>
      <c r="F14" s="4"/>
      <c r="J14" s="89" t="s">
        <v>15</v>
      </c>
      <c r="K14" s="89"/>
      <c r="L14" s="94"/>
      <c r="M14" s="94"/>
      <c r="N14" s="94"/>
      <c r="O14" s="94"/>
      <c r="P14" s="94"/>
      <c r="Q14" s="94"/>
      <c r="R14" s="94"/>
    </row>
    <row r="15" spans="2:18" x14ac:dyDescent="0.25">
      <c r="B15" s="16" t="s">
        <v>1</v>
      </c>
      <c r="C15" s="16" t="s">
        <v>5</v>
      </c>
      <c r="D15" s="16" t="s">
        <v>6</v>
      </c>
      <c r="E15" s="72" t="s">
        <v>139</v>
      </c>
      <c r="F15" s="70" t="s">
        <v>122</v>
      </c>
      <c r="G15" s="70" t="s">
        <v>73</v>
      </c>
      <c r="H15" s="70" t="s">
        <v>70</v>
      </c>
      <c r="J15" s="91" t="s">
        <v>11</v>
      </c>
      <c r="K15" s="92" t="s">
        <v>30</v>
      </c>
      <c r="L15" s="91" t="s">
        <v>1</v>
      </c>
      <c r="M15" s="91" t="s">
        <v>2</v>
      </c>
      <c r="N15" s="91" t="s">
        <v>16</v>
      </c>
      <c r="O15" s="91" t="s">
        <v>17</v>
      </c>
      <c r="P15" s="91" t="s">
        <v>18</v>
      </c>
      <c r="Q15" s="91" t="s">
        <v>19</v>
      </c>
      <c r="R15" s="91" t="s">
        <v>20</v>
      </c>
    </row>
    <row r="16" spans="2:18" ht="21.6" thickBot="1" x14ac:dyDescent="0.3">
      <c r="B16" s="15" t="s">
        <v>37</v>
      </c>
      <c r="C16" s="15" t="s">
        <v>32</v>
      </c>
      <c r="D16" s="15" t="s">
        <v>33</v>
      </c>
      <c r="E16" s="15" t="s">
        <v>138</v>
      </c>
      <c r="F16" s="15" t="s">
        <v>34</v>
      </c>
      <c r="G16" s="15" t="s">
        <v>75</v>
      </c>
      <c r="H16" s="15" t="s">
        <v>157</v>
      </c>
      <c r="J16" s="93" t="s">
        <v>36</v>
      </c>
      <c r="K16" s="93" t="s">
        <v>31</v>
      </c>
      <c r="L16" s="93" t="s">
        <v>21</v>
      </c>
      <c r="M16" s="93" t="s">
        <v>22</v>
      </c>
      <c r="N16" s="93" t="s">
        <v>23</v>
      </c>
      <c r="O16" s="93" t="s">
        <v>24</v>
      </c>
      <c r="P16" s="93" t="s">
        <v>41</v>
      </c>
      <c r="Q16" s="93" t="s">
        <v>40</v>
      </c>
      <c r="R16" s="93" t="s">
        <v>25</v>
      </c>
    </row>
    <row r="17" spans="2:18" ht="13.8" thickBot="1" x14ac:dyDescent="0.3">
      <c r="B17" s="14" t="s">
        <v>76</v>
      </c>
      <c r="C17" s="14"/>
      <c r="D17" s="14"/>
      <c r="E17" s="13"/>
      <c r="F17" s="13" t="str">
        <f>F2&amp;"a"</f>
        <v>M$2021a</v>
      </c>
      <c r="G17" s="13"/>
      <c r="H17" s="13" t="s">
        <v>77</v>
      </c>
      <c r="J17" s="93" t="s">
        <v>71</v>
      </c>
      <c r="K17" s="96"/>
      <c r="L17" s="96"/>
      <c r="M17" s="96"/>
      <c r="N17" s="96"/>
      <c r="O17" s="96"/>
      <c r="P17" s="96"/>
      <c r="Q17" s="96"/>
      <c r="R17" s="96"/>
    </row>
    <row r="18" spans="2:18" x14ac:dyDescent="0.25">
      <c r="B18" s="21" t="str">
        <f>Sector_Fuels_ELC!L18</f>
        <v>FTE-ELCCOA</v>
      </c>
      <c r="C18" t="str">
        <f>RIGHT(D18,3)</f>
        <v>COA</v>
      </c>
      <c r="D18" s="21" t="str">
        <f>L5</f>
        <v>ELCCOA</v>
      </c>
      <c r="E18" s="12"/>
      <c r="F18" s="12"/>
      <c r="G18" s="62">
        <v>1</v>
      </c>
      <c r="H18" s="63">
        <v>30</v>
      </c>
      <c r="J18" s="90" t="s">
        <v>95</v>
      </c>
      <c r="K18" s="97"/>
      <c r="L18" s="94" t="str">
        <f>"FT"&amp;$G$2&amp;"-"&amp;L5</f>
        <v>FTE-ELCCOA</v>
      </c>
      <c r="M18" s="95" t="str">
        <f t="shared" ref="M18:M25" si="1">$D$2&amp;" Technology"&amp;" "&amp;$G$1&amp;" "&amp;M5</f>
        <v>Sector Fuel Technology Existing Electricity Plants Solid Fuels</v>
      </c>
      <c r="N18" s="94" t="str">
        <f t="shared" ref="N18:N25" si="2">$E$2</f>
        <v>PJ</v>
      </c>
      <c r="O18" s="94" t="str">
        <f t="shared" ref="O18:O25" si="3">$E$2&amp;"a"</f>
        <v>PJa</v>
      </c>
      <c r="P18" s="94"/>
      <c r="Q18" s="94"/>
      <c r="R18" s="94"/>
    </row>
    <row r="19" spans="2:18" x14ac:dyDescent="0.25">
      <c r="B19" s="21" t="str">
        <f>Sector_Fuels_ELC!L19</f>
        <v>FTE-ELCGAS</v>
      </c>
      <c r="C19" t="str">
        <f>RIGHT(D19,3)</f>
        <v>GAS</v>
      </c>
      <c r="D19" s="21" t="str">
        <f>L6</f>
        <v>ELCGAS</v>
      </c>
      <c r="E19" s="12"/>
      <c r="F19" s="12"/>
      <c r="G19" s="62">
        <v>1</v>
      </c>
      <c r="H19" s="63">
        <v>30</v>
      </c>
      <c r="J19" s="94"/>
      <c r="K19" s="97"/>
      <c r="L19" s="94" t="str">
        <f t="shared" ref="L19:L25" si="4">"FT"&amp;$G$2&amp;"-"&amp;L6</f>
        <v>FTE-ELCGAS</v>
      </c>
      <c r="M19" s="95" t="str">
        <f t="shared" si="1"/>
        <v>Sector Fuel Technology Existing Electricity Plants Natural Gas</v>
      </c>
      <c r="N19" s="94" t="str">
        <f t="shared" si="2"/>
        <v>PJ</v>
      </c>
      <c r="O19" s="94" t="str">
        <f t="shared" si="3"/>
        <v>PJa</v>
      </c>
      <c r="P19" s="94"/>
      <c r="Q19" s="94"/>
      <c r="R19" s="94"/>
    </row>
    <row r="20" spans="2:18" x14ac:dyDescent="0.25">
      <c r="B20" s="21" t="str">
        <f>Sector_Fuels_ELC!L20</f>
        <v>FTE-ELCOIL</v>
      </c>
      <c r="C20" t="str">
        <f>'EB1'!G$2</f>
        <v>DSL</v>
      </c>
      <c r="D20" s="21" t="str">
        <f>L7</f>
        <v>ELCOIL</v>
      </c>
      <c r="E20" s="61">
        <f>-'EB1'!G$6/-SUM('EB1'!$G$6:$M$6)</f>
        <v>0</v>
      </c>
      <c r="F20" s="12"/>
      <c r="G20" s="62">
        <v>1</v>
      </c>
      <c r="H20" s="63">
        <v>30</v>
      </c>
      <c r="J20" s="97"/>
      <c r="K20" s="97"/>
      <c r="L20" s="94" t="str">
        <f t="shared" si="4"/>
        <v>FTE-ELCOIL</v>
      </c>
      <c r="M20" s="95" t="str">
        <f t="shared" si="1"/>
        <v>Sector Fuel Technology Existing Electricity Plants oil</v>
      </c>
      <c r="N20" s="94" t="str">
        <f t="shared" si="2"/>
        <v>PJ</v>
      </c>
      <c r="O20" s="94" t="str">
        <f t="shared" si="3"/>
        <v>PJa</v>
      </c>
      <c r="P20" s="94"/>
      <c r="Q20" s="94"/>
      <c r="R20" s="94"/>
    </row>
    <row r="21" spans="2:18" x14ac:dyDescent="0.25">
      <c r="B21" s="21"/>
      <c r="C21" t="str">
        <f>'EB1'!I$2</f>
        <v>LPG</v>
      </c>
      <c r="D21" s="21"/>
      <c r="E21" s="61">
        <f>-'EB1'!I$6/-SUM('EB1'!$G$6:$M$6)</f>
        <v>0</v>
      </c>
      <c r="F21" s="12"/>
      <c r="G21" s="62"/>
      <c r="H21" s="63"/>
      <c r="J21" s="94"/>
      <c r="K21" s="94"/>
      <c r="L21" s="94" t="str">
        <f t="shared" si="4"/>
        <v>FTE-ELCNUC</v>
      </c>
      <c r="M21" s="95" t="str">
        <f t="shared" si="1"/>
        <v>Sector Fuel Technology Existing Electricity Plants Nuclear Energy</v>
      </c>
      <c r="N21" s="94" t="str">
        <f t="shared" si="2"/>
        <v>PJ</v>
      </c>
      <c r="O21" s="94" t="str">
        <f t="shared" si="3"/>
        <v>PJa</v>
      </c>
      <c r="P21" s="94"/>
      <c r="Q21" s="94"/>
      <c r="R21" s="94"/>
    </row>
    <row r="22" spans="2:18" x14ac:dyDescent="0.25">
      <c r="B22" s="21"/>
      <c r="C22" t="str">
        <f>'EB1'!L$2</f>
        <v>HFO</v>
      </c>
      <c r="D22" s="21"/>
      <c r="E22" s="61">
        <f>-'EB1'!L$6/-SUM('EB1'!$G$6:$M$6)</f>
        <v>1</v>
      </c>
      <c r="F22" s="12"/>
      <c r="G22" s="62"/>
      <c r="H22" s="63"/>
      <c r="J22" s="94"/>
      <c r="K22" s="94"/>
      <c r="L22" s="94" t="str">
        <f t="shared" si="4"/>
        <v>FTE-ELCBIO</v>
      </c>
      <c r="M22" s="95" t="str">
        <f t="shared" si="1"/>
        <v>Sector Fuel Technology Existing Electricity Plants Biomass</v>
      </c>
      <c r="N22" s="94" t="str">
        <f t="shared" si="2"/>
        <v>PJ</v>
      </c>
      <c r="O22" s="94" t="str">
        <f t="shared" si="3"/>
        <v>PJa</v>
      </c>
      <c r="P22" s="94"/>
      <c r="Q22" s="94"/>
      <c r="R22" s="94"/>
    </row>
    <row r="23" spans="2:18" x14ac:dyDescent="0.25">
      <c r="B23" s="21"/>
      <c r="C23" t="str">
        <f>'EB1'!M$2</f>
        <v>OPP</v>
      </c>
      <c r="D23" s="21"/>
      <c r="E23" s="61">
        <f>-'EB1'!M$6/-SUM('EB1'!$G$6:$M$6)</f>
        <v>0</v>
      </c>
      <c r="F23" s="12"/>
      <c r="G23" s="62"/>
      <c r="H23" s="63"/>
      <c r="J23" s="94"/>
      <c r="K23" s="94"/>
      <c r="L23" s="94" t="str">
        <f t="shared" si="4"/>
        <v>FTE-ELCHYD</v>
      </c>
      <c r="M23" s="95" t="str">
        <f t="shared" si="1"/>
        <v>Sector Fuel Technology Existing Electricity Plants Hydro power</v>
      </c>
      <c r="N23" s="94" t="str">
        <f t="shared" si="2"/>
        <v>PJ</v>
      </c>
      <c r="O23" s="94" t="str">
        <f t="shared" si="3"/>
        <v>PJa</v>
      </c>
      <c r="P23" s="94"/>
      <c r="Q23" s="94"/>
      <c r="R23" s="94"/>
    </row>
    <row r="24" spans="2:18" x14ac:dyDescent="0.25">
      <c r="B24" s="21" t="str">
        <f>Sector_Fuels_ELC!L21</f>
        <v>FTE-ELCNUC</v>
      </c>
      <c r="C24" t="str">
        <f>RIGHT(D24,3)</f>
        <v>NUC</v>
      </c>
      <c r="D24" s="21" t="str">
        <f>L8</f>
        <v>ELCNUC</v>
      </c>
      <c r="E24" s="12"/>
      <c r="F24" s="12"/>
      <c r="G24" s="62">
        <v>1</v>
      </c>
      <c r="H24" s="63">
        <v>30</v>
      </c>
      <c r="J24" s="94"/>
      <c r="K24" s="94"/>
      <c r="L24" s="94" t="str">
        <f t="shared" si="4"/>
        <v>FTE-ELCWIN</v>
      </c>
      <c r="M24" s="95" t="str">
        <f t="shared" si="1"/>
        <v>Sector Fuel Technology Existing Electricity Plants Wind energy</v>
      </c>
      <c r="N24" s="94" t="str">
        <f t="shared" si="2"/>
        <v>PJ</v>
      </c>
      <c r="O24" s="94" t="str">
        <f t="shared" si="3"/>
        <v>PJa</v>
      </c>
      <c r="P24" s="94"/>
      <c r="Q24" s="94"/>
      <c r="R24" s="94"/>
    </row>
    <row r="25" spans="2:18" x14ac:dyDescent="0.25">
      <c r="B25" s="21" t="str">
        <f>Sector_Fuels_ELC!L22</f>
        <v>FTE-ELCBIO</v>
      </c>
      <c r="C25" t="str">
        <f>RIGHT(D25,3)</f>
        <v>BIO</v>
      </c>
      <c r="D25" s="21" t="str">
        <f>L9</f>
        <v>ELCBIO</v>
      </c>
      <c r="E25" s="12"/>
      <c r="F25" s="12"/>
      <c r="G25" s="62">
        <v>1</v>
      </c>
      <c r="H25" s="63">
        <v>30</v>
      </c>
      <c r="J25" s="94"/>
      <c r="K25" s="94"/>
      <c r="L25" s="94" t="str">
        <f t="shared" si="4"/>
        <v>FTE-ELCSOL</v>
      </c>
      <c r="M25" s="95" t="str">
        <f t="shared" si="1"/>
        <v>Sector Fuel Technology Existing Electricity Plants Solar energy</v>
      </c>
      <c r="N25" s="94" t="str">
        <f t="shared" si="2"/>
        <v>PJ</v>
      </c>
      <c r="O25" s="94" t="str">
        <f t="shared" si="3"/>
        <v>PJa</v>
      </c>
      <c r="P25" s="94"/>
      <c r="Q25" s="94"/>
      <c r="R25" s="94"/>
    </row>
    <row r="26" spans="2:18" x14ac:dyDescent="0.25">
      <c r="B26" s="21" t="str">
        <f>Sector_Fuels_ELC!L23</f>
        <v>FTE-ELCHYD</v>
      </c>
      <c r="C26" t="str">
        <f>RIGHT(D26,3)</f>
        <v>HYD</v>
      </c>
      <c r="D26" s="21" t="str">
        <f>L10</f>
        <v>ELCHYD</v>
      </c>
      <c r="E26" s="12"/>
      <c r="F26" s="12"/>
      <c r="G26" s="62">
        <v>1</v>
      </c>
      <c r="H26" s="63">
        <v>30</v>
      </c>
    </row>
    <row r="27" spans="2:18" x14ac:dyDescent="0.25">
      <c r="B27" s="21" t="str">
        <f>Sector_Fuels_ELC!L24</f>
        <v>FTE-ELCWIN</v>
      </c>
      <c r="C27" t="str">
        <f>RIGHT(D27,3)</f>
        <v>WIN</v>
      </c>
      <c r="D27" s="21" t="str">
        <f>L11</f>
        <v>ELCWIN</v>
      </c>
      <c r="E27" s="12"/>
      <c r="F27" s="12"/>
      <c r="G27" s="62">
        <v>1</v>
      </c>
      <c r="H27" s="63">
        <v>30</v>
      </c>
    </row>
    <row r="28" spans="2:18" x14ac:dyDescent="0.25">
      <c r="B28" s="21" t="str">
        <f>Sector_Fuels_ELC!L25</f>
        <v>FTE-ELCSOL</v>
      </c>
      <c r="C28" t="str">
        <f>RIGHT(D28,3)</f>
        <v>SOL</v>
      </c>
      <c r="D28" s="21" t="str">
        <f>L12</f>
        <v>ELCSOL</v>
      </c>
      <c r="E28" s="12"/>
      <c r="F28" s="12"/>
      <c r="G28" s="62">
        <v>1</v>
      </c>
      <c r="H28" s="63">
        <v>30</v>
      </c>
    </row>
    <row r="32" spans="2:18" x14ac:dyDescent="0.25">
      <c r="B32" s="43"/>
      <c r="C32" s="1" t="s">
        <v>142</v>
      </c>
    </row>
    <row r="33" spans="2:3" x14ac:dyDescent="0.25">
      <c r="B33" s="59"/>
      <c r="C33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D65535"/>
  <sheetViews>
    <sheetView tabSelected="1" topLeftCell="B1" zoomScale="90" zoomScaleNormal="90" workbookViewId="0">
      <pane xSplit="3" ySplit="11" topLeftCell="F12" activePane="bottomRight" state="frozen"/>
      <selection activeCell="B1" sqref="B1"/>
      <selection pane="topRight" activeCell="E1" sqref="E1"/>
      <selection pane="bottomLeft" activeCell="B12" sqref="B12"/>
      <selection pane="bottomRight" activeCell="M4" sqref="M4"/>
    </sheetView>
  </sheetViews>
  <sheetFormatPr defaultColWidth="8.88671875" defaultRowHeight="13.2" x14ac:dyDescent="0.25"/>
  <cols>
    <col min="1" max="1" width="3" style="21" customWidth="1"/>
    <col min="2" max="2" width="16.44140625" style="21" customWidth="1"/>
    <col min="3" max="3" width="12.109375" style="21" bestFit="1" customWidth="1"/>
    <col min="4" max="4" width="11.33203125" style="21" bestFit="1" customWidth="1"/>
    <col min="5" max="6" width="12" style="21" bestFit="1" customWidth="1"/>
    <col min="7" max="7" width="12" style="21" customWidth="1"/>
    <col min="8" max="9" width="13" style="21" bestFit="1" customWidth="1"/>
    <col min="10" max="10" width="13" style="21" customWidth="1"/>
    <col min="11" max="11" width="8.88671875" style="21" bestFit="1" customWidth="1"/>
    <col min="12" max="12" width="8.109375" style="21" bestFit="1" customWidth="1"/>
    <col min="13" max="13" width="10" style="21" bestFit="1" customWidth="1"/>
    <col min="14" max="14" width="9.88671875" style="21" bestFit="1" customWidth="1"/>
    <col min="15" max="16" width="8.88671875" style="21" bestFit="1" customWidth="1"/>
    <col min="17" max="17" width="15" style="21" bestFit="1" customWidth="1"/>
    <col min="18" max="18" width="13.33203125" style="21" bestFit="1" customWidth="1"/>
    <col min="19" max="19" width="2" style="21" bestFit="1" customWidth="1"/>
    <col min="20" max="20" width="13.5546875" style="21" bestFit="1" customWidth="1"/>
    <col min="21" max="21" width="2.109375" style="21" bestFit="1" customWidth="1"/>
    <col min="22" max="22" width="12.44140625" bestFit="1" customWidth="1"/>
    <col min="23" max="23" width="7.44140625" bestFit="1" customWidth="1"/>
    <col min="24" max="24" width="14.5546875" bestFit="1" customWidth="1"/>
    <col min="25" max="25" width="43.33203125" bestFit="1" customWidth="1"/>
    <col min="26" max="26" width="6.33203125" customWidth="1"/>
    <col min="27" max="27" width="11.44140625" bestFit="1" customWidth="1"/>
    <col min="28" max="28" width="13.5546875" bestFit="1" customWidth="1"/>
    <col min="29" max="29" width="15" bestFit="1" customWidth="1"/>
    <col min="30" max="30" width="8.109375" bestFit="1" customWidth="1"/>
    <col min="31" max="16384" width="8.88671875" style="21"/>
  </cols>
  <sheetData>
    <row r="1" spans="2:30" ht="28.8" x14ac:dyDescent="0.3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30" ht="31.2" x14ac:dyDescent="0.3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'EB1'!Z2</f>
        <v>PJ</v>
      </c>
      <c r="F2" s="10" t="s">
        <v>101</v>
      </c>
      <c r="G2" s="10" t="str">
        <f>'EB1'!Y2</f>
        <v>M$2021</v>
      </c>
      <c r="H2" s="10" t="s">
        <v>84</v>
      </c>
      <c r="V2" s="89" t="s">
        <v>14</v>
      </c>
      <c r="W2" s="89"/>
      <c r="X2" s="90"/>
      <c r="Y2" s="90"/>
      <c r="Z2" s="90"/>
      <c r="AA2" s="90"/>
      <c r="AB2" s="90"/>
      <c r="AC2" s="90"/>
      <c r="AD2" s="90"/>
    </row>
    <row r="3" spans="2:30" x14ac:dyDescent="0.25">
      <c r="V3" s="91" t="s">
        <v>7</v>
      </c>
      <c r="W3" s="92" t="s">
        <v>30</v>
      </c>
      <c r="X3" s="91" t="s">
        <v>0</v>
      </c>
      <c r="Y3" s="91" t="s">
        <v>3</v>
      </c>
      <c r="Z3" s="91" t="s">
        <v>4</v>
      </c>
      <c r="AA3" s="91" t="s">
        <v>8</v>
      </c>
      <c r="AB3" s="91" t="s">
        <v>9</v>
      </c>
      <c r="AC3" s="91" t="s">
        <v>10</v>
      </c>
      <c r="AD3" s="91" t="s">
        <v>12</v>
      </c>
    </row>
    <row r="4" spans="2:30" ht="22.2" thickBot="1" x14ac:dyDescent="0.3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I4" s="9"/>
      <c r="J4" s="9"/>
      <c r="M4" s="9"/>
      <c r="V4" s="93" t="s">
        <v>35</v>
      </c>
      <c r="W4" s="93" t="s">
        <v>31</v>
      </c>
      <c r="X4" s="93" t="s">
        <v>26</v>
      </c>
      <c r="Y4" s="93" t="s">
        <v>27</v>
      </c>
      <c r="Z4" s="93" t="s">
        <v>4</v>
      </c>
      <c r="AA4" s="93" t="s">
        <v>38</v>
      </c>
      <c r="AB4" s="93" t="s">
        <v>39</v>
      </c>
      <c r="AC4" s="93" t="s">
        <v>28</v>
      </c>
      <c r="AD4" s="93" t="s">
        <v>29</v>
      </c>
    </row>
    <row r="5" spans="2:30" ht="15.6" x14ac:dyDescent="0.3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I5" s="9"/>
      <c r="J5" s="9"/>
      <c r="M5" s="9"/>
      <c r="V5" s="90" t="s">
        <v>64</v>
      </c>
      <c r="W5" s="94"/>
      <c r="X5" s="90" t="str">
        <f>'EB1'!$U$2</f>
        <v>ELC</v>
      </c>
      <c r="Y5" s="90" t="str">
        <f>'EB1'!$U$3</f>
        <v>Electricity</v>
      </c>
      <c r="Z5" s="90" t="str">
        <f>$E$2</f>
        <v>PJ</v>
      </c>
      <c r="AA5" s="90"/>
      <c r="AB5" s="90" t="s">
        <v>116</v>
      </c>
      <c r="AC5" s="90"/>
      <c r="AD5" s="90" t="s">
        <v>48</v>
      </c>
    </row>
    <row r="6" spans="2:30" x14ac:dyDescent="0.25">
      <c r="V6" s="94" t="s">
        <v>88</v>
      </c>
      <c r="W6" s="94"/>
      <c r="X6" s="94" t="str">
        <f>$B$2&amp;'EB1'!$C$15</f>
        <v>ELCCO2</v>
      </c>
      <c r="Y6" s="94" t="str">
        <f>$C$2&amp;" "&amp;'EB1'!$C$16</f>
        <v>Electricity Plants Carbon dioxide</v>
      </c>
      <c r="Z6" s="94" t="str">
        <f>'EB1'!$AA$2</f>
        <v>kt</v>
      </c>
      <c r="AA6" s="94"/>
      <c r="AB6" s="94" t="s">
        <v>169</v>
      </c>
      <c r="AC6" s="94"/>
      <c r="AD6" s="94"/>
    </row>
    <row r="7" spans="2:30" x14ac:dyDescent="0.25">
      <c r="V7" s="2"/>
      <c r="W7" s="2"/>
    </row>
    <row r="8" spans="2:30" x14ac:dyDescent="0.25">
      <c r="D8" s="4" t="s">
        <v>13</v>
      </c>
      <c r="E8" s="4"/>
      <c r="F8" s="4"/>
      <c r="G8" s="4"/>
      <c r="H8" s="4"/>
      <c r="I8" s="4"/>
      <c r="J8" s="4"/>
      <c r="K8" s="4"/>
      <c r="N8" s="5"/>
      <c r="O8" s="5"/>
      <c r="P8" s="3"/>
      <c r="V8" s="89" t="s">
        <v>15</v>
      </c>
      <c r="W8" s="89"/>
      <c r="X8" s="90"/>
      <c r="Y8" s="90"/>
      <c r="Z8" s="90"/>
      <c r="AA8" s="90"/>
      <c r="AB8" s="90"/>
      <c r="AC8" s="90"/>
      <c r="AD8" s="90"/>
    </row>
    <row r="9" spans="2:30" ht="12.75" customHeight="1" x14ac:dyDescent="0.25">
      <c r="B9" s="17" t="s">
        <v>1</v>
      </c>
      <c r="C9" s="17" t="s">
        <v>5</v>
      </c>
      <c r="D9" s="17" t="s">
        <v>6</v>
      </c>
      <c r="E9" s="17" t="s">
        <v>164</v>
      </c>
      <c r="F9" s="17" t="s">
        <v>165</v>
      </c>
      <c r="G9" s="17" t="s">
        <v>166</v>
      </c>
      <c r="H9" s="70" t="s">
        <v>122</v>
      </c>
      <c r="I9" s="70" t="s">
        <v>171</v>
      </c>
      <c r="J9" s="70" t="s">
        <v>170</v>
      </c>
      <c r="K9" s="70" t="s">
        <v>73</v>
      </c>
      <c r="L9" s="70" t="s">
        <v>162</v>
      </c>
      <c r="M9" s="70" t="s">
        <v>159</v>
      </c>
      <c r="N9" s="70" t="s">
        <v>72</v>
      </c>
      <c r="O9" s="70" t="s">
        <v>103</v>
      </c>
      <c r="P9" s="70" t="s">
        <v>70</v>
      </c>
      <c r="Q9" s="70" t="s">
        <v>158</v>
      </c>
      <c r="R9" s="70" t="s">
        <v>117</v>
      </c>
      <c r="S9" s="23"/>
      <c r="T9" s="86" t="s">
        <v>115</v>
      </c>
      <c r="U9" s="26"/>
      <c r="V9" s="91" t="s">
        <v>11</v>
      </c>
      <c r="W9" s="92" t="s">
        <v>30</v>
      </c>
      <c r="X9" s="91" t="s">
        <v>1</v>
      </c>
      <c r="Y9" s="91" t="s">
        <v>2</v>
      </c>
      <c r="Z9" s="91" t="s">
        <v>16</v>
      </c>
      <c r="AA9" s="91" t="s">
        <v>17</v>
      </c>
      <c r="AB9" s="91" t="s">
        <v>18</v>
      </c>
      <c r="AC9" s="91" t="s">
        <v>19</v>
      </c>
      <c r="AD9" s="91" t="s">
        <v>20</v>
      </c>
    </row>
    <row r="10" spans="2:30" ht="21.6" thickBot="1" x14ac:dyDescent="0.3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161</v>
      </c>
      <c r="H10" s="15" t="s">
        <v>34</v>
      </c>
      <c r="I10" s="76" t="s">
        <v>119</v>
      </c>
      <c r="J10" s="15"/>
      <c r="K10" s="15" t="s">
        <v>75</v>
      </c>
      <c r="L10" s="76" t="s">
        <v>82</v>
      </c>
      <c r="M10" s="15" t="s">
        <v>160</v>
      </c>
      <c r="N10" s="15" t="s">
        <v>81</v>
      </c>
      <c r="O10" s="15" t="s">
        <v>105</v>
      </c>
      <c r="P10" s="15" t="s">
        <v>157</v>
      </c>
      <c r="Q10" s="15" t="s">
        <v>106</v>
      </c>
      <c r="R10" s="15" t="s">
        <v>118</v>
      </c>
      <c r="T10" s="29" t="s">
        <v>104</v>
      </c>
      <c r="U10" s="27"/>
      <c r="V10" s="93" t="s">
        <v>36</v>
      </c>
      <c r="W10" s="93" t="s">
        <v>31</v>
      </c>
      <c r="X10" s="93" t="s">
        <v>21</v>
      </c>
      <c r="Y10" s="93" t="s">
        <v>22</v>
      </c>
      <c r="Z10" s="93" t="s">
        <v>23</v>
      </c>
      <c r="AA10" s="93" t="s">
        <v>24</v>
      </c>
      <c r="AB10" s="93" t="s">
        <v>41</v>
      </c>
      <c r="AC10" s="93" t="s">
        <v>40</v>
      </c>
      <c r="AD10" s="93" t="s">
        <v>25</v>
      </c>
    </row>
    <row r="11" spans="2:30" ht="13.8" thickBot="1" x14ac:dyDescent="0.3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13" t="str">
        <f>$F$2</f>
        <v>GW</v>
      </c>
      <c r="I11" s="71" t="str">
        <f>$F$2</f>
        <v>GW</v>
      </c>
      <c r="J11" s="71"/>
      <c r="K11" s="13"/>
      <c r="L11" s="71"/>
      <c r="M11" s="13" t="str">
        <f>$G$2&amp;"/"&amp;$F$2</f>
        <v>M$2021/GW</v>
      </c>
      <c r="N11" s="13" t="str">
        <f>$G$2&amp;"/"&amp;$F$2</f>
        <v>M$2021/GW</v>
      </c>
      <c r="O11" s="13" t="str">
        <f>$G$2&amp;"/"&amp;$E$2</f>
        <v>M$2021/PJ</v>
      </c>
      <c r="P11" s="13" t="s">
        <v>77</v>
      </c>
      <c r="Q11" s="13" t="str">
        <f>$E$2&amp;"/"&amp;$F$2</f>
        <v>PJ/GW</v>
      </c>
      <c r="R11" s="13"/>
      <c r="T11" s="87" t="s">
        <v>120</v>
      </c>
      <c r="U11" s="27"/>
      <c r="V11" s="93" t="s">
        <v>71</v>
      </c>
      <c r="W11" s="93"/>
      <c r="X11" s="93"/>
      <c r="Y11" s="93"/>
      <c r="Z11" s="93"/>
      <c r="AA11" s="93"/>
      <c r="AB11" s="93"/>
      <c r="AC11" s="93"/>
      <c r="AD11" s="93"/>
    </row>
    <row r="12" spans="2:30" x14ac:dyDescent="0.25">
      <c r="B12" s="21" t="str">
        <f t="shared" ref="B12:B18" si="0">X12</f>
        <v>ELCTECOA00</v>
      </c>
      <c r="C12" s="21" t="str">
        <f>$B$2&amp;RIGHT(Sector_Fuels_ELC!L5,3)</f>
        <v>ELCCOA</v>
      </c>
      <c r="D12" s="21" t="str">
        <f t="shared" ref="D12:D18" si="1">$X$5</f>
        <v>ELC</v>
      </c>
      <c r="H12" s="101">
        <v>0.66</v>
      </c>
      <c r="I12" s="60"/>
      <c r="J12" s="60"/>
      <c r="K12" s="66">
        <v>0.38400000000000001</v>
      </c>
      <c r="L12" s="66">
        <v>0.85</v>
      </c>
      <c r="M12" s="65"/>
      <c r="N12" s="66">
        <v>32.6</v>
      </c>
      <c r="O12" s="66">
        <v>3.14</v>
      </c>
      <c r="P12" s="65">
        <v>40</v>
      </c>
      <c r="Q12" s="65">
        <v>31.536000000000001</v>
      </c>
      <c r="R12" s="66">
        <v>1</v>
      </c>
      <c r="T12" s="99">
        <f>H12*$L12*$Q12</f>
        <v>17.691696000000004</v>
      </c>
      <c r="U12" s="85"/>
      <c r="V12" s="94" t="s">
        <v>102</v>
      </c>
      <c r="W12" s="94"/>
      <c r="X12" s="94" t="str">
        <f>$B$2&amp;$C$5&amp;$H$2&amp;RIGHT(Sector_Fuels_ELC!$L$5,3)&amp;"00"</f>
        <v>ELCTECOA00</v>
      </c>
      <c r="Y12" s="95" t="str">
        <f>$D$2&amp;" "&amp;$H$1&amp;RIGHT(X12,2)&amp;" - "&amp;'EB1'!D3</f>
        <v>Power Plants Existing00 - Solid Fuels</v>
      </c>
      <c r="Z12" s="94" t="str">
        <f t="shared" ref="Z12:Z18" si="2">$E$2</f>
        <v>PJ</v>
      </c>
      <c r="AA12" s="94" t="str">
        <f t="shared" ref="AA12:AA18" si="3">$F$2</f>
        <v>GW</v>
      </c>
      <c r="AB12" s="90"/>
      <c r="AC12" s="94"/>
      <c r="AD12" s="94"/>
    </row>
    <row r="13" spans="2:30" x14ac:dyDescent="0.25">
      <c r="B13" s="21" t="str">
        <f t="shared" si="0"/>
        <v>ELCTEGAS00</v>
      </c>
      <c r="C13" s="21" t="str">
        <f>$B$2&amp;RIGHT(Sector_Fuels_ELC!L6,3)</f>
        <v>ELCGAS</v>
      </c>
      <c r="D13" s="21" t="str">
        <f t="shared" si="1"/>
        <v>ELC</v>
      </c>
      <c r="H13" s="101">
        <v>0</v>
      </c>
      <c r="I13" s="60"/>
      <c r="J13" s="60"/>
      <c r="K13" s="66">
        <v>0.4929</v>
      </c>
      <c r="L13" s="66">
        <v>0.85</v>
      </c>
      <c r="M13" s="65"/>
      <c r="N13" s="66">
        <v>35</v>
      </c>
      <c r="O13" s="66">
        <v>0.71</v>
      </c>
      <c r="P13" s="65">
        <v>40</v>
      </c>
      <c r="Q13" s="65">
        <v>31.536000000000001</v>
      </c>
      <c r="R13" s="66">
        <v>1</v>
      </c>
      <c r="T13" s="99">
        <f>H13*$L13*$Q13</f>
        <v>0</v>
      </c>
      <c r="U13" s="28"/>
      <c r="V13" s="94" t="s">
        <v>102</v>
      </c>
      <c r="W13" s="94"/>
      <c r="X13" s="94" t="str">
        <f>$B$2&amp;$C$5&amp;$H$2&amp;RIGHT(Sector_Fuels_ELC!$L$6,3)&amp;"00"</f>
        <v>ELCTEGAS00</v>
      </c>
      <c r="Y13" s="95" t="str">
        <f>$D$2&amp;" "&amp;$H$1&amp;RIGHT(X13,2)&amp;" - "&amp;'EB1'!E3</f>
        <v>Power Plants Existing00 - Natural Gas</v>
      </c>
      <c r="Z13" s="94" t="str">
        <f t="shared" si="2"/>
        <v>PJ</v>
      </c>
      <c r="AA13" s="94" t="str">
        <f t="shared" si="3"/>
        <v>GW</v>
      </c>
      <c r="AB13" s="94"/>
      <c r="AC13" s="94"/>
      <c r="AD13" s="94"/>
    </row>
    <row r="14" spans="2:30" x14ac:dyDescent="0.25">
      <c r="B14" s="21" t="str">
        <f t="shared" si="0"/>
        <v>ELCTEOIL00</v>
      </c>
      <c r="C14" s="21" t="str">
        <f>$B$2&amp;RIGHT(Sector_Fuels_ELC!L7,3)</f>
        <v>ELCOIL</v>
      </c>
      <c r="D14" s="21" t="str">
        <f t="shared" si="1"/>
        <v>ELC</v>
      </c>
      <c r="H14" s="101">
        <v>9.8400000000000001E-2</v>
      </c>
      <c r="I14" s="60"/>
      <c r="J14" s="60"/>
      <c r="K14" s="66">
        <v>0.35</v>
      </c>
      <c r="L14" s="66">
        <v>0.85</v>
      </c>
      <c r="M14" s="65"/>
      <c r="N14" s="66">
        <v>20</v>
      </c>
      <c r="O14" s="66">
        <v>0.35</v>
      </c>
      <c r="P14" s="65">
        <v>30</v>
      </c>
      <c r="Q14" s="65">
        <v>31.536000000000001</v>
      </c>
      <c r="R14" s="66">
        <v>1</v>
      </c>
      <c r="T14" s="99">
        <f>H14*$L14*$Q14</f>
        <v>2.6376710399999999</v>
      </c>
      <c r="U14" s="28"/>
      <c r="V14" s="94" t="s">
        <v>102</v>
      </c>
      <c r="W14" s="94"/>
      <c r="X14" s="94" t="str">
        <f>$B$2&amp;$C$5&amp;$H$2&amp;RIGHT(Sector_Fuels_ELC!$L$7,3)&amp;"00"</f>
        <v>ELCTEOIL00</v>
      </c>
      <c r="Y14" s="95" t="str">
        <f>$D$2&amp;" "&amp;$H$1&amp;RIGHT(X14,2)&amp;" - "&amp;'EB1'!F3</f>
        <v>Power Plants Existing00 - Crude oil</v>
      </c>
      <c r="Z14" s="94" t="str">
        <f t="shared" si="2"/>
        <v>PJ</v>
      </c>
      <c r="AA14" s="94" t="str">
        <f t="shared" si="3"/>
        <v>GW</v>
      </c>
      <c r="AB14" s="94"/>
      <c r="AC14" s="94"/>
      <c r="AD14" s="94"/>
    </row>
    <row r="15" spans="2:30" ht="12.6" customHeight="1" x14ac:dyDescent="0.25">
      <c r="B15" s="21" t="str">
        <f t="shared" si="0"/>
        <v>ELCREBIO00</v>
      </c>
      <c r="C15" s="21" t="str">
        <f>$B$2&amp;RIGHT(Sector_Fuels_ELC!L9,3)</f>
        <v>ELCBIO</v>
      </c>
      <c r="D15" s="21" t="str">
        <f t="shared" si="1"/>
        <v>ELC</v>
      </c>
      <c r="H15" s="101">
        <v>2E-3</v>
      </c>
      <c r="I15" s="60"/>
      <c r="J15" s="60"/>
      <c r="K15" s="64">
        <v>0.28000000000000003</v>
      </c>
      <c r="L15" s="64">
        <v>0.6</v>
      </c>
      <c r="M15" s="64"/>
      <c r="N15" s="64">
        <v>43.2</v>
      </c>
      <c r="O15" s="64">
        <v>1.72</v>
      </c>
      <c r="P15" s="42">
        <v>25</v>
      </c>
      <c r="Q15" s="65">
        <v>31.536000000000001</v>
      </c>
      <c r="R15" s="66">
        <v>1</v>
      </c>
      <c r="T15" s="99">
        <f>H15*$L15*$Q15</f>
        <v>3.78432E-2</v>
      </c>
      <c r="U15" s="28"/>
      <c r="V15" s="94" t="s">
        <v>102</v>
      </c>
      <c r="W15" s="94"/>
      <c r="X15" s="94" t="str">
        <f>$B$2&amp;$E$5&amp;$H$2&amp;RIGHT(Sector_Fuels_ELC!$L$9,3)&amp;"00"</f>
        <v>ELCREBIO00</v>
      </c>
      <c r="Y15" s="94" t="str">
        <f>$D$2&amp;" "&amp;$H$1&amp;RIGHT(X15,2)&amp;" - "&amp;'EB1'!O3</f>
        <v>Power Plants Existing00 - Biomass</v>
      </c>
      <c r="Z15" s="94" t="str">
        <f t="shared" si="2"/>
        <v>PJ</v>
      </c>
      <c r="AA15" s="94" t="str">
        <f t="shared" si="3"/>
        <v>GW</v>
      </c>
      <c r="AB15" s="90"/>
      <c r="AC15" s="94"/>
      <c r="AD15" s="94"/>
    </row>
    <row r="16" spans="2:30" x14ac:dyDescent="0.25">
      <c r="B16" s="21" t="str">
        <f t="shared" si="0"/>
        <v>ELCREHYD00</v>
      </c>
      <c r="C16" s="21" t="str">
        <f>$B$2&amp;RIGHT(Sector_Fuels_ELC!L10,3)</f>
        <v>ELCHYD</v>
      </c>
      <c r="D16" s="21" t="str">
        <f t="shared" si="1"/>
        <v>ELC</v>
      </c>
      <c r="E16" s="98"/>
      <c r="F16" s="98"/>
      <c r="G16" s="98"/>
      <c r="H16" s="101">
        <v>1.3281000000000001</v>
      </c>
      <c r="I16" s="88"/>
      <c r="J16" s="88"/>
      <c r="K16" s="64">
        <v>1</v>
      </c>
      <c r="L16" s="64">
        <v>0.5</v>
      </c>
      <c r="M16" s="64"/>
      <c r="N16" s="64">
        <v>40</v>
      </c>
      <c r="O16" s="64"/>
      <c r="P16" s="42">
        <v>50</v>
      </c>
      <c r="Q16" s="65">
        <v>31.536000000000001</v>
      </c>
      <c r="R16" s="66">
        <v>0.5</v>
      </c>
      <c r="T16" s="99">
        <f>H16*$L16*$Q16</f>
        <v>20.941480800000001</v>
      </c>
      <c r="U16" s="28"/>
      <c r="V16" s="94" t="s">
        <v>102</v>
      </c>
      <c r="W16" s="94"/>
      <c r="X16" s="94" t="str">
        <f>$B$2&amp;$E$5&amp;$H$2&amp;RIGHT(Sector_Fuels_ELC!$L$10,3)&amp;"00"</f>
        <v>ELCREHYD00</v>
      </c>
      <c r="Y16" s="94" t="str">
        <f>$D$2&amp;" "&amp;$H$1&amp;RIGHT(X16,2)&amp;" - "&amp;'EB1'!P3</f>
        <v>Power Plants Existing00 - Hydro power</v>
      </c>
      <c r="Z16" s="94" t="str">
        <f t="shared" si="2"/>
        <v>PJ</v>
      </c>
      <c r="AA16" s="94" t="str">
        <f t="shared" si="3"/>
        <v>GW</v>
      </c>
      <c r="AB16" s="94"/>
      <c r="AC16" s="94"/>
      <c r="AD16" s="94"/>
    </row>
    <row r="17" spans="2:30" x14ac:dyDescent="0.25">
      <c r="B17" s="21" t="str">
        <f t="shared" si="0"/>
        <v>ELCREWIN00</v>
      </c>
      <c r="C17" s="21" t="str">
        <f>$B$2&amp;RIGHT(Sector_Fuels_ELC!L11,3)</f>
        <v>ELCWIN</v>
      </c>
      <c r="D17" s="21" t="str">
        <f t="shared" si="1"/>
        <v>ELC</v>
      </c>
      <c r="H17" s="101">
        <v>0</v>
      </c>
      <c r="I17" s="60">
        <v>0.9</v>
      </c>
      <c r="J17" s="60">
        <v>0.9</v>
      </c>
      <c r="K17" s="64">
        <v>1</v>
      </c>
      <c r="L17" s="64">
        <v>0.35</v>
      </c>
      <c r="M17" s="64">
        <v>1340</v>
      </c>
      <c r="N17" s="64">
        <v>26.7</v>
      </c>
      <c r="O17" s="64"/>
      <c r="P17" s="42">
        <v>20</v>
      </c>
      <c r="Q17" s="65">
        <v>31.536000000000001</v>
      </c>
      <c r="R17" s="66">
        <v>0.3</v>
      </c>
      <c r="T17" s="99">
        <f>H17*$L17*$Q17</f>
        <v>0</v>
      </c>
      <c r="U17" s="28"/>
      <c r="V17" s="94" t="s">
        <v>102</v>
      </c>
      <c r="W17" s="94"/>
      <c r="X17" s="94" t="str">
        <f>$B$2&amp;$E$5&amp;$H$2&amp;RIGHT(Sector_Fuels_ELC!$L$11,3)&amp;"00"</f>
        <v>ELCREWIN00</v>
      </c>
      <c r="Y17" s="94" t="str">
        <f>$D$2&amp;" "&amp;$H$1&amp;RIGHT(X17,2)&amp;" - "&amp;'EB1'!Q3</f>
        <v>Power Plants Existing00 - Wind energy</v>
      </c>
      <c r="Z17" s="94" t="str">
        <f t="shared" si="2"/>
        <v>PJ</v>
      </c>
      <c r="AA17" s="94" t="str">
        <f t="shared" si="3"/>
        <v>GW</v>
      </c>
      <c r="AB17" s="94"/>
      <c r="AC17" s="94"/>
      <c r="AD17" s="94"/>
    </row>
    <row r="18" spans="2:30" x14ac:dyDescent="0.25">
      <c r="B18" s="21" t="str">
        <f t="shared" si="0"/>
        <v>ELCRESOL00</v>
      </c>
      <c r="C18" s="21" t="str">
        <f>$B$2&amp;RIGHT(Sector_Fuels_ELC!L12,3)</f>
        <v>ELCSOL</v>
      </c>
      <c r="D18" s="21" t="str">
        <f t="shared" si="1"/>
        <v>ELC</v>
      </c>
      <c r="G18" s="83"/>
      <c r="H18" s="101">
        <v>0.36180000000000001</v>
      </c>
      <c r="I18" s="60"/>
      <c r="J18" s="60"/>
      <c r="K18" s="64">
        <v>1</v>
      </c>
      <c r="L18" s="64">
        <v>0.3</v>
      </c>
      <c r="M18" s="64"/>
      <c r="N18" s="64">
        <v>19.399999999999999</v>
      </c>
      <c r="O18" s="64"/>
      <c r="P18" s="42">
        <v>15</v>
      </c>
      <c r="Q18" s="65">
        <v>31.536000000000001</v>
      </c>
      <c r="R18" s="66">
        <v>0.2</v>
      </c>
      <c r="T18" s="99">
        <f>H18*$L18*$Q18</f>
        <v>3.42291744</v>
      </c>
      <c r="U18" s="28"/>
      <c r="V18" s="94" t="s">
        <v>102</v>
      </c>
      <c r="W18" s="94"/>
      <c r="X18" s="94" t="str">
        <f>$B$2&amp;$E$5&amp;$H$2&amp;RIGHT(Sector_Fuels_ELC!$L$12,3)&amp;"00"</f>
        <v>ELCRESOL00</v>
      </c>
      <c r="Y18" s="94" t="str">
        <f>$D$2&amp;" "&amp;$H$1&amp;RIGHT(X18,2)&amp;" - "&amp;'EB1'!R3</f>
        <v>Power Plants Existing00 - Solar energy</v>
      </c>
      <c r="Z18" s="94" t="str">
        <f t="shared" si="2"/>
        <v>PJ</v>
      </c>
      <c r="AA18" s="94" t="str">
        <f t="shared" si="3"/>
        <v>GW</v>
      </c>
      <c r="AB18" s="94"/>
      <c r="AC18" s="94"/>
      <c r="AD18" s="94"/>
    </row>
    <row r="19" spans="2:30" x14ac:dyDescent="0.25">
      <c r="T19" s="100"/>
    </row>
    <row r="20" spans="2:30" x14ac:dyDescent="0.25">
      <c r="T20" s="84"/>
    </row>
    <row r="21" spans="2:30" x14ac:dyDescent="0.25">
      <c r="T21" s="84"/>
    </row>
    <row r="22" spans="2:30" x14ac:dyDescent="0.25">
      <c r="B22" s="43"/>
      <c r="C22" s="1" t="s">
        <v>142</v>
      </c>
      <c r="T22" s="84"/>
    </row>
    <row r="23" spans="2:30" x14ac:dyDescent="0.25">
      <c r="B23" s="59"/>
      <c r="C23" s="1" t="s">
        <v>143</v>
      </c>
      <c r="T23" s="84"/>
    </row>
    <row r="24" spans="2:30" x14ac:dyDescent="0.25">
      <c r="T24" s="84"/>
    </row>
    <row r="26" spans="2:30" x14ac:dyDescent="0.25">
      <c r="L26" s="21">
        <v>1144</v>
      </c>
    </row>
    <row r="27" spans="2:30" x14ac:dyDescent="0.25">
      <c r="L27" s="102" t="s">
        <v>167</v>
      </c>
      <c r="M27" s="102" t="s">
        <v>168</v>
      </c>
    </row>
    <row r="28" spans="2:30" x14ac:dyDescent="0.25">
      <c r="K28" s="21">
        <v>116.8</v>
      </c>
      <c r="L28" s="21">
        <f>$K28*10^3/$L$26</f>
        <v>102.09790209790209</v>
      </c>
    </row>
    <row r="29" spans="2:30" x14ac:dyDescent="0.25">
      <c r="K29" s="21">
        <v>3.488</v>
      </c>
      <c r="M29" s="21">
        <f>$K29*10^3/$L$26</f>
        <v>3.0489510489510487</v>
      </c>
    </row>
    <row r="65535" spans="21:21" x14ac:dyDescent="0.25">
      <c r="U65535" s="28"/>
    </row>
  </sheetData>
  <phoneticPr fontId="30" type="noConversion"/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>
      <selection activeCell="M12" sqref="M12"/>
    </sheetView>
  </sheetViews>
  <sheetFormatPr defaultRowHeight="13.2" x14ac:dyDescent="0.25"/>
  <cols>
    <col min="2" max="2" width="14.44140625" customWidth="1"/>
    <col min="3" max="3" width="10" customWidth="1"/>
    <col min="4" max="4" width="8.5546875" bestFit="1" customWidth="1"/>
    <col min="5" max="5" width="7.6640625" bestFit="1" customWidth="1"/>
  </cols>
  <sheetData>
    <row r="3" spans="2:10" ht="17.399999999999999" customHeight="1" x14ac:dyDescent="0.3">
      <c r="B3" s="33" t="s">
        <v>147</v>
      </c>
      <c r="C3" s="33"/>
      <c r="D3" s="33"/>
      <c r="E3" s="33"/>
      <c r="F3" s="33"/>
      <c r="G3" s="33"/>
      <c r="H3" s="33"/>
      <c r="I3" s="33"/>
      <c r="J3" s="33"/>
    </row>
    <row r="4" spans="2:10" ht="17.399999999999999" customHeight="1" x14ac:dyDescent="0.3">
      <c r="B4" s="34"/>
      <c r="C4" s="34"/>
      <c r="D4" s="34"/>
      <c r="E4" s="34"/>
      <c r="F4" s="34"/>
      <c r="G4" s="34"/>
    </row>
    <row r="5" spans="2:10" ht="17.399999999999999" x14ac:dyDescent="0.3">
      <c r="B5" s="31" t="s">
        <v>137</v>
      </c>
      <c r="C5" s="32"/>
    </row>
    <row r="6" spans="2:10" ht="13.8" thickBot="1" x14ac:dyDescent="0.3">
      <c r="B6" s="36" t="s">
        <v>0</v>
      </c>
      <c r="C6" s="36" t="str">
        <f>Sector_Fuels_ELC!$L$5</f>
        <v>ELCCOA</v>
      </c>
      <c r="D6" s="36" t="str">
        <f>Sector_Fuels_ELC!$L$6</f>
        <v>ELCGAS</v>
      </c>
      <c r="E6" s="36" t="str">
        <f>Sector_Fuels_ELC!$L$7</f>
        <v>ELCOIL</v>
      </c>
      <c r="F6" s="36" t="str">
        <f>Sector_Fuels_ELC!$L$9</f>
        <v>ELCBIO</v>
      </c>
      <c r="G6" s="35"/>
      <c r="H6" s="1"/>
    </row>
    <row r="7" spans="2:10" ht="13.8" thickBot="1" x14ac:dyDescent="0.3">
      <c r="B7" s="14" t="s">
        <v>76</v>
      </c>
      <c r="C7" s="14" t="s">
        <v>141</v>
      </c>
      <c r="D7" s="14" t="s">
        <v>141</v>
      </c>
      <c r="E7" s="14" t="s">
        <v>141</v>
      </c>
      <c r="F7" s="14" t="s">
        <v>141</v>
      </c>
      <c r="G7" s="78"/>
      <c r="H7" s="1"/>
    </row>
    <row r="8" spans="2:10" x14ac:dyDescent="0.25">
      <c r="B8" s="21" t="str">
        <f>Con_ELC!$X$6</f>
        <v>ELCCO2</v>
      </c>
      <c r="C8" s="64">
        <v>95</v>
      </c>
      <c r="D8" s="64">
        <v>56.1</v>
      </c>
      <c r="E8" s="64">
        <v>76.400000000000006</v>
      </c>
      <c r="F8" s="64">
        <v>112</v>
      </c>
      <c r="G8" s="79"/>
      <c r="H8" s="1"/>
    </row>
    <row r="23" spans="2:3" x14ac:dyDescent="0.25">
      <c r="B23" s="43"/>
      <c r="C23" s="1" t="s">
        <v>142</v>
      </c>
    </row>
    <row r="24" spans="2:3" x14ac:dyDescent="0.25">
      <c r="B24" s="59"/>
      <c r="C24" s="1" t="s">
        <v>143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EB1</vt:lpstr>
      <vt:lpstr>RES_ELC</vt:lpstr>
      <vt:lpstr>Sector_Fuels_ELC</vt:lpstr>
      <vt:lpstr>Con_ELC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cp:lastPrinted>2004-11-16T14:57:57Z</cp:lastPrinted>
  <dcterms:created xsi:type="dcterms:W3CDTF">2000-12-13T15:53:11Z</dcterms:created>
  <dcterms:modified xsi:type="dcterms:W3CDTF">2026-06-06T04:59:25Z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933101832866668</vt:r8>
  </property>
</Properties>
</file>