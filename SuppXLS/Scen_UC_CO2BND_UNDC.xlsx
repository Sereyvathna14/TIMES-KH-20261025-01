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24226"/>
  <mc:AlternateContent xmlns:mc="http://schemas.openxmlformats.org/markup-compatibility/2006">
    <mc:Choice Requires="x15">
      <x15ac:absPath xmlns:x15ac="http://schemas.microsoft.com/office/spreadsheetml/2010/11/ac" url="J:\My Drive\001_Dissertation_WORKING\003_TIMES_WORKING\005_Cambodia-TIMES-Model-main_20261025_v01\SuppXLS\"/>
    </mc:Choice>
  </mc:AlternateContent>
  <xr:revisionPtr revIDLastSave="0" documentId="13_ncr:1_{B05681B7-9EC4-4300-B883-7148D089BB24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UC_CO2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D35" i="1" l="1"/>
  <c r="K35" i="1" l="1"/>
  <c r="L35" i="1"/>
  <c r="M35" i="1"/>
  <c r="N35" i="1"/>
  <c r="O35" i="1"/>
  <c r="P35" i="1"/>
  <c r="Q35" i="1"/>
  <c r="R35" i="1"/>
  <c r="S35" i="1"/>
  <c r="E35" i="1"/>
  <c r="E32" i="1" s="1"/>
  <c r="F35" i="1"/>
  <c r="G35" i="1"/>
  <c r="H35" i="1"/>
  <c r="I35" i="1"/>
  <c r="J35" i="1"/>
</calcChain>
</file>

<file path=xl/sharedStrings.xml><?xml version="1.0" encoding="utf-8"?>
<sst xmlns="http://schemas.openxmlformats.org/spreadsheetml/2006/main" count="49" uniqueCount="35">
  <si>
    <t>~UC_Sets: R_E: AllRegions</t>
  </si>
  <si>
    <t>UC_N</t>
  </si>
  <si>
    <t>Pset_CI</t>
  </si>
  <si>
    <t>Year</t>
  </si>
  <si>
    <t>Pset_PN</t>
  </si>
  <si>
    <t>Pset_Set</t>
  </si>
  <si>
    <t>Cset_CN</t>
  </si>
  <si>
    <t>Pset_CO</t>
  </si>
  <si>
    <t>Attribute</t>
  </si>
  <si>
    <t>LimType</t>
  </si>
  <si>
    <t>~UC_Sets: T_E:</t>
  </si>
  <si>
    <t>UC_Desc</t>
  </si>
  <si>
    <t>UC - Each Region/Period</t>
  </si>
  <si>
    <t>REG1</t>
  </si>
  <si>
    <t>Table Name: Emissions</t>
  </si>
  <si>
    <t>Active Unit: Kt</t>
  </si>
  <si>
    <t>Region</t>
  </si>
  <si>
    <t>AU_CO2_BND</t>
  </si>
  <si>
    <t>UP</t>
  </si>
  <si>
    <t>CO2 Bound Constraint</t>
  </si>
  <si>
    <t>UC_COMNET</t>
  </si>
  <si>
    <t>~UC_T:UC_RHSRTS</t>
  </si>
  <si>
    <t>Scenario</t>
  </si>
  <si>
    <t>CommodityDesc\Period</t>
  </si>
  <si>
    <t>Electricity Plants Carbon dioxide</t>
  </si>
  <si>
    <t>Transport Carbon dioxide</t>
  </si>
  <si>
    <t>Residential Carbon dioxide</t>
  </si>
  <si>
    <t>Reduction Coeff</t>
  </si>
  <si>
    <t>Total</t>
  </si>
  <si>
    <t>Agriculture Carbon dioxide</t>
  </si>
  <si>
    <t>Commercial Carbon dioxide</t>
  </si>
  <si>
    <t>Industry Carbon dioxide</t>
  </si>
  <si>
    <t>*CO2</t>
  </si>
  <si>
    <t>DemoS_010</t>
  </si>
  <si>
    <t>UC_RHSRTS~0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</si>
</sst>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9" x14ac:knownFonts="1">
    <font>
      <sz val="11"/>
      <color theme="1"/>
      <name val="Calibri"/>
      <family val="2"/>
      <scheme val="minor"/>
    </font>
    <font>
      <b/>
      <sz val="11"/>
      <color indexed="8"/>
      <name val="Calibri"/>
      <family val="2"/>
    </font>
    <font>
      <sz val="11"/>
      <color indexed="8"/>
      <name val="Calibri"/>
      <family val="2"/>
    </font>
    <font>
      <b/>
      <sz val="11"/>
      <color indexed="8"/>
      <name val="Calibri"/>
      <family val="2"/>
    </font>
    <font>
      <b/>
      <sz val="10"/>
      <name val="Arial"/>
      <family val="2"/>
    </font>
    <font>
      <sz val="10"/>
      <name val="Arial"/>
      <family val="2"/>
    </font>
    <font>
      <sz val="8.25"/>
      <color rgb="FF000000"/>
      <name val="Microsoft Sans Serif"/>
      <family val="2"/>
    </font>
    <font>
      <sz val="8"/>
      <name val="Calibri"/>
      <family val="2"/>
      <scheme val="minor"/>
    </font>
    <font>
      <sz val="11"/>
      <color theme="1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indexed="51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EAF1FB"/>
        <bgColor rgb="FFEAF1FB"/>
      </patternFill>
    </fill>
  </fills>
  <borders count="2">
    <border>
      <left/>
      <right/>
      <top/>
      <bottom/>
      <diagonal/>
    </border>
    <border>
      <left style="thin">
        <color rgb="FF696969"/>
      </left>
      <right style="thin">
        <color rgb="FF696969"/>
      </right>
      <top style="thin">
        <color rgb="FF696969"/>
      </top>
      <bottom style="thin">
        <color rgb="FF696969"/>
      </bottom>
      <diagonal/>
    </border>
  </borders>
  <cellStyleXfs count="5">
    <xf numFmtId="0" fontId="0" fillId="0" borderId="0"/>
    <xf numFmtId="0" fontId="5" fillId="0" borderId="0"/>
    <xf numFmtId="0" fontId="2" fillId="0" borderId="0"/>
    <xf numFmtId="9" fontId="8" fillId="0" borderId="0" applyFont="0" applyFill="0" applyBorder="0" applyAlignment="0" applyProtection="0"/>
    <xf numFmtId="43" fontId="8" fillId="0" borderId="0" applyFont="0" applyFill="0" applyBorder="0" applyAlignment="0" applyProtection="0"/>
  </cellStyleXfs>
  <cellXfs count="15">
    <xf numFmtId="0" fontId="0" fillId="0" borderId="0" xfId="0"/>
    <xf numFmtId="0" fontId="3" fillId="0" borderId="0" xfId="2" applyFont="1"/>
    <xf numFmtId="0" fontId="4" fillId="2" borderId="0" xfId="0" applyFont="1" applyFill="1"/>
    <xf numFmtId="0" fontId="4" fillId="4" borderId="0" xfId="0" applyFont="1" applyFill="1"/>
    <xf numFmtId="0" fontId="4" fillId="5" borderId="0" xfId="0" applyFont="1" applyFill="1"/>
    <xf numFmtId="0" fontId="4" fillId="0" borderId="0" xfId="0" applyFont="1"/>
    <xf numFmtId="0" fontId="1" fillId="0" borderId="0" xfId="2" applyFont="1"/>
    <xf numFmtId="1" fontId="0" fillId="0" borderId="0" xfId="0" applyNumberFormat="1"/>
    <xf numFmtId="0" fontId="5" fillId="6" borderId="0" xfId="0" applyFont="1" applyFill="1"/>
    <xf numFmtId="0" fontId="5" fillId="3" borderId="0" xfId="0" applyFont="1" applyFill="1"/>
    <xf numFmtId="9" fontId="0" fillId="0" borderId="0" xfId="0" applyNumberFormat="1" applyAlignment="1">
      <alignment horizontal="center"/>
    </xf>
    <xf numFmtId="0" fontId="6" fillId="7" borderId="1" xfId="0" applyFont="1" applyFill="1" applyBorder="1" applyAlignment="1">
      <alignment horizontal="right" vertical="center"/>
    </xf>
    <xf numFmtId="9" fontId="0" fillId="0" borderId="0" xfId="3" applyFont="1"/>
    <xf numFmtId="43" fontId="0" fillId="0" borderId="0" xfId="4" applyFont="1"/>
    <xf numFmtId="0" fontId="5" fillId="0" borderId="0" xfId="0" applyFont="1"/>
  </cellXfs>
  <cellStyles count="5">
    <cellStyle name="Comma" xfId="4" builtinId="3"/>
    <cellStyle name="Normal" xfId="0" builtinId="0"/>
    <cellStyle name="Normal 10" xfId="1" xr:uid="{00000000-0005-0000-0000-000001000000}"/>
    <cellStyle name="Normale_Scen_UC_IND-StrucConst" xfId="2" xr:uid="{00000000-0005-0000-0000-000002000000}"/>
    <cellStyle name="Percent" xfId="3" builtinId="5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578427</xdr:colOff>
      <xdr:row>15</xdr:row>
      <xdr:rowOff>19916</xdr:rowOff>
    </xdr:from>
    <xdr:to>
      <xdr:col>9</xdr:col>
      <xdr:colOff>1085851</xdr:colOff>
      <xdr:row>19</xdr:row>
      <xdr:rowOff>9525</xdr:rowOff>
    </xdr:to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3883B7BA-FDB7-47B9-AD90-521B80A59637}"/>
            </a:ext>
          </a:extLst>
        </xdr:cNvPr>
        <xdr:cNvSpPr txBox="1"/>
      </xdr:nvSpPr>
      <xdr:spPr>
        <a:xfrm>
          <a:off x="578427" y="1734416"/>
          <a:ext cx="8746549" cy="751609"/>
        </a:xfrm>
        <a:prstGeom prst="rect">
          <a:avLst/>
        </a:prstGeom>
        <a:solidFill>
          <a:schemeClr val="accent6">
            <a:lumMod val="20000"/>
            <a:lumOff val="80000"/>
          </a:schemeClr>
        </a:solidFill>
        <a:ln w="9525" cmpd="sng">
          <a:solidFill>
            <a:schemeClr val="lt1">
              <a:shade val="50000"/>
            </a:schemeClr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Get and copy the ELCCO2 and TRACO2 emissions (kt) from the base scenario results (run name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DemoS_007)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Build a user constraint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that specifcy the maximum amount of emissions in a secific year for the sum of TRACO2 and ELCCO2</a:t>
          </a:r>
          <a:endParaRPr lang="en-GB" sz="1100">
            <a:solidFill>
              <a:schemeClr val="dk1"/>
            </a:solidFill>
            <a:effectLst/>
            <a:latin typeface="+mn-lt"/>
            <a:ea typeface="+mn-ea"/>
            <a:cs typeface="+mn-cs"/>
          </a:endParaRPr>
        </a:p>
        <a:p>
          <a:pPr lvl="0"/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Declare the reduction target(s) (%) to reach at specific year(s) in each region using the COM_BDNNET</a:t>
          </a:r>
          <a:r>
            <a:rPr lang="en-GB" sz="1100" baseline="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 attribute</a:t>
          </a:r>
          <a:r>
            <a:rPr lang="en-GB" sz="1100">
              <a:solidFill>
                <a:schemeClr val="dk1"/>
              </a:solidFill>
              <a:effectLst/>
              <a:latin typeface="+mn-lt"/>
              <a:ea typeface="+mn-ea"/>
              <a:cs typeface="+mn-cs"/>
            </a:rPr>
            <a:t>.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S35"/>
  <sheetViews>
    <sheetView tabSelected="1" zoomScale="70" zoomScaleNormal="70" workbookViewId="0">
      <selection activeCell="R18" sqref="R18"/>
    </sheetView>
  </sheetViews>
  <sheetFormatPr defaultRowHeight="15" x14ac:dyDescent="0.25"/>
  <cols>
    <col min="2" max="2" width="14.140625" customWidth="1"/>
    <col min="3" max="3" width="10.28515625" customWidth="1"/>
    <col min="4" max="4" width="30.140625" customWidth="1"/>
    <col min="5" max="6" width="11.140625" customWidth="1"/>
    <col min="7" max="7" width="15.28515625" bestFit="1" customWidth="1"/>
    <col min="8" max="9" width="11.140625" customWidth="1"/>
    <col min="10" max="10" width="17.28515625" bestFit="1" customWidth="1"/>
    <col min="11" max="11" width="12.42578125" bestFit="1" customWidth="1"/>
    <col min="12" max="12" width="14.85546875" bestFit="1" customWidth="1"/>
    <col min="13" max="13" width="15" bestFit="1" customWidth="1"/>
    <col min="14" max="14" width="20.5703125" bestFit="1" customWidth="1"/>
    <col min="15" max="15" width="8.140625" bestFit="1" customWidth="1"/>
    <col min="16" max="17" width="7.140625" bestFit="1" customWidth="1"/>
    <col min="18" max="18" width="14.140625" bestFit="1" customWidth="1"/>
  </cols>
  <sheetData>
    <row r="1" spans="1:18" x14ac:dyDescent="0.25">
      <c r="A1" t="s">
        <v>12</v>
      </c>
    </row>
    <row r="2" spans="1:18" x14ac:dyDescent="0.25">
      <c r="B2" s="1" t="s">
        <v>0</v>
      </c>
    </row>
    <row r="3" spans="1:18" x14ac:dyDescent="0.25">
      <c r="B3" s="6" t="s">
        <v>10</v>
      </c>
    </row>
    <row r="4" spans="1:18" x14ac:dyDescent="0.25">
      <c r="J4" t="s">
        <v>21</v>
      </c>
    </row>
    <row r="5" spans="1:18" x14ac:dyDescent="0.25">
      <c r="B5" s="4" t="s">
        <v>1</v>
      </c>
      <c r="C5" s="2" t="s">
        <v>5</v>
      </c>
      <c r="D5" s="2" t="s">
        <v>4</v>
      </c>
      <c r="E5" s="2" t="s">
        <v>2</v>
      </c>
      <c r="F5" s="2" t="s">
        <v>7</v>
      </c>
      <c r="G5" s="3" t="s">
        <v>6</v>
      </c>
      <c r="H5" s="3" t="s">
        <v>8</v>
      </c>
      <c r="I5" s="3" t="s">
        <v>3</v>
      </c>
      <c r="J5" s="3" t="s">
        <v>9</v>
      </c>
      <c r="K5" s="5" t="s">
        <v>20</v>
      </c>
      <c r="L5" s="8" t="s">
        <v>13</v>
      </c>
      <c r="M5" s="14" t="s">
        <v>34</v>
      </c>
      <c r="N5" s="4" t="s">
        <v>11</v>
      </c>
      <c r="R5" s="9" t="s">
        <v>27</v>
      </c>
    </row>
    <row r="6" spans="1:18" x14ac:dyDescent="0.25">
      <c r="B6" t="s">
        <v>17</v>
      </c>
      <c r="G6" t="s">
        <v>32</v>
      </c>
      <c r="I6">
        <v>2030</v>
      </c>
      <c r="J6" t="s">
        <v>18</v>
      </c>
      <c r="K6">
        <v>1</v>
      </c>
      <c r="L6" s="13">
        <v>38698.038611603704</v>
      </c>
      <c r="M6">
        <v>5</v>
      </c>
      <c r="N6" t="s">
        <v>19</v>
      </c>
      <c r="R6" s="10">
        <v>0.05</v>
      </c>
    </row>
    <row r="7" spans="1:18" x14ac:dyDescent="0.25">
      <c r="G7" t="s">
        <v>32</v>
      </c>
      <c r="I7">
        <v>2035</v>
      </c>
      <c r="J7" t="s">
        <v>18</v>
      </c>
      <c r="K7">
        <v>1</v>
      </c>
      <c r="L7" s="13">
        <v>44113.763969000276</v>
      </c>
      <c r="R7" s="10">
        <v>0.05</v>
      </c>
    </row>
    <row r="8" spans="1:18" x14ac:dyDescent="0.25">
      <c r="L8" s="7"/>
      <c r="R8" s="10">
        <v>0.05</v>
      </c>
    </row>
    <row r="9" spans="1:18" x14ac:dyDescent="0.25">
      <c r="L9" s="7"/>
      <c r="R9" s="10">
        <v>0.05</v>
      </c>
    </row>
    <row r="10" spans="1:18" x14ac:dyDescent="0.25">
      <c r="L10" s="7"/>
      <c r="R10" s="10">
        <v>0.05</v>
      </c>
    </row>
    <row r="11" spans="1:18" x14ac:dyDescent="0.25">
      <c r="L11" s="12"/>
      <c r="R11" s="10">
        <v>0.05</v>
      </c>
    </row>
    <row r="12" spans="1:18" x14ac:dyDescent="0.25">
      <c r="L12" s="7"/>
      <c r="R12" s="10">
        <v>0.05</v>
      </c>
    </row>
    <row r="13" spans="1:18" x14ac:dyDescent="0.25">
      <c r="L13" s="7"/>
      <c r="R13" s="10"/>
    </row>
    <row r="14" spans="1:18" x14ac:dyDescent="0.25">
      <c r="R14" s="10"/>
    </row>
    <row r="22" spans="2:13" x14ac:dyDescent="0.25">
      <c r="B22" t="s">
        <v>14</v>
      </c>
    </row>
    <row r="23" spans="2:13" x14ac:dyDescent="0.25">
      <c r="B23" t="s">
        <v>15</v>
      </c>
    </row>
    <row r="24" spans="2:13" x14ac:dyDescent="0.25">
      <c r="B24" t="s">
        <v>22</v>
      </c>
      <c r="C24" t="s">
        <v>16</v>
      </c>
      <c r="D24" t="s">
        <v>23</v>
      </c>
      <c r="E24" s="11">
        <v>2021</v>
      </c>
      <c r="F24" s="11">
        <v>2022</v>
      </c>
      <c r="G24" s="11">
        <v>2025</v>
      </c>
      <c r="H24" s="11">
        <v>2030</v>
      </c>
      <c r="I24" s="11">
        <v>2035</v>
      </c>
      <c r="J24" s="11">
        <v>2040</v>
      </c>
      <c r="K24" s="11">
        <v>2045</v>
      </c>
      <c r="L24" s="11">
        <v>2050</v>
      </c>
    </row>
    <row r="25" spans="2:13" x14ac:dyDescent="0.25">
      <c r="B25" t="s">
        <v>33</v>
      </c>
      <c r="C25" t="s">
        <v>13</v>
      </c>
      <c r="D25" t="s">
        <v>29</v>
      </c>
      <c r="E25" s="7">
        <v>212.996312980043</v>
      </c>
      <c r="F25" s="7">
        <v>215.126933673108</v>
      </c>
      <c r="G25" s="7">
        <v>219.45021741073</v>
      </c>
      <c r="H25" s="7">
        <v>208.99178617328499</v>
      </c>
      <c r="I25" s="7">
        <v>215.36232794977801</v>
      </c>
      <c r="J25" s="7">
        <v>299.56219780110598</v>
      </c>
      <c r="K25" s="7">
        <v>438.66276574882198</v>
      </c>
      <c r="L25" s="7">
        <v>614.47419912945702</v>
      </c>
      <c r="M25" s="7"/>
    </row>
    <row r="26" spans="2:13" x14ac:dyDescent="0.25">
      <c r="B26" t="s">
        <v>33</v>
      </c>
      <c r="C26" t="s">
        <v>13</v>
      </c>
      <c r="D26" t="s">
        <v>30</v>
      </c>
      <c r="E26" s="7">
        <v>415.09356099436798</v>
      </c>
      <c r="F26" s="7">
        <v>624.84542887571195</v>
      </c>
      <c r="G26" s="7"/>
      <c r="H26" s="7"/>
      <c r="I26" s="7"/>
      <c r="J26" s="7"/>
      <c r="K26" s="7"/>
      <c r="L26" s="7"/>
      <c r="M26" s="7"/>
    </row>
    <row r="27" spans="2:13" x14ac:dyDescent="0.25">
      <c r="B27" t="s">
        <v>33</v>
      </c>
      <c r="C27" t="s">
        <v>13</v>
      </c>
      <c r="D27" t="s">
        <v>24</v>
      </c>
      <c r="E27" s="7">
        <v>4376.8518750000003</v>
      </c>
      <c r="F27" s="7">
        <v>4267.4305781249996</v>
      </c>
      <c r="G27" s="7">
        <v>8137.7181190741803</v>
      </c>
      <c r="H27" s="7">
        <v>11693.390132928</v>
      </c>
      <c r="I27" s="7">
        <v>14602.186331349199</v>
      </c>
      <c r="J27" s="7">
        <v>19125.548650918201</v>
      </c>
      <c r="K27" s="7">
        <v>20895.687152768402</v>
      </c>
      <c r="L27" s="7">
        <v>22832.5364037578</v>
      </c>
      <c r="M27" s="7"/>
    </row>
    <row r="28" spans="2:13" x14ac:dyDescent="0.25">
      <c r="B28" t="s">
        <v>33</v>
      </c>
      <c r="C28" t="s">
        <v>13</v>
      </c>
      <c r="D28" t="s">
        <v>31</v>
      </c>
      <c r="E28" s="7">
        <v>2655.2364891120001</v>
      </c>
      <c r="F28" s="7">
        <v>2604.7174731884402</v>
      </c>
      <c r="G28" s="7">
        <v>2452.8531742294499</v>
      </c>
      <c r="H28" s="7">
        <v>2428.2953689283499</v>
      </c>
      <c r="I28" s="7">
        <v>2558.4322615832202</v>
      </c>
      <c r="J28" s="7">
        <v>2241.06789690606</v>
      </c>
      <c r="K28" s="7">
        <v>2278.1724800616398</v>
      </c>
      <c r="L28" s="7">
        <v>2351.4438346757902</v>
      </c>
      <c r="M28" s="7"/>
    </row>
    <row r="29" spans="2:13" x14ac:dyDescent="0.25">
      <c r="B29" t="s">
        <v>33</v>
      </c>
      <c r="C29" t="s">
        <v>13</v>
      </c>
      <c r="D29" t="s">
        <v>26</v>
      </c>
      <c r="E29" s="7">
        <v>677.38136214383997</v>
      </c>
      <c r="F29" s="7"/>
      <c r="G29" s="7"/>
      <c r="H29" s="7"/>
      <c r="I29" s="7"/>
      <c r="J29" s="7"/>
      <c r="K29" s="7"/>
      <c r="L29" s="7"/>
      <c r="M29" s="7"/>
    </row>
    <row r="30" spans="2:13" x14ac:dyDescent="0.25">
      <c r="B30" t="s">
        <v>33</v>
      </c>
      <c r="C30" t="s">
        <v>13</v>
      </c>
      <c r="D30" t="s">
        <v>25</v>
      </c>
      <c r="E30" s="7">
        <v>3629.4944045064599</v>
      </c>
      <c r="F30" s="7">
        <v>5286.0414232104004</v>
      </c>
      <c r="G30" s="7">
        <v>5592.5571705351804</v>
      </c>
      <c r="H30" s="7">
        <v>4855.1326647040896</v>
      </c>
      <c r="I30" s="7">
        <v>4913.7843375759503</v>
      </c>
      <c r="J30" s="7">
        <v>4958.9207832316597</v>
      </c>
      <c r="K30" s="7">
        <v>4717.3792537071504</v>
      </c>
      <c r="L30" s="7">
        <v>5341.4174679000098</v>
      </c>
      <c r="M30" s="7"/>
    </row>
    <row r="32" spans="2:13" x14ac:dyDescent="0.25">
      <c r="C32" t="s">
        <v>13</v>
      </c>
      <c r="D32" t="s">
        <v>28</v>
      </c>
      <c r="E32">
        <f>E35</f>
        <v>20633.5210142701</v>
      </c>
      <c r="F32">
        <v>21114.615350753382</v>
      </c>
      <c r="G32">
        <v>31095.369296976274</v>
      </c>
      <c r="H32" s="7">
        <v>38698.038611603704</v>
      </c>
      <c r="I32" s="7">
        <v>44113.763969000276</v>
      </c>
      <c r="J32" s="7"/>
      <c r="K32" s="7"/>
      <c r="L32" s="7"/>
      <c r="M32" s="7"/>
    </row>
    <row r="33" spans="4:19" x14ac:dyDescent="0.25">
      <c r="E33" s="11">
        <v>2021</v>
      </c>
      <c r="F33" s="11">
        <v>2022</v>
      </c>
      <c r="G33" s="11">
        <v>2023</v>
      </c>
      <c r="H33" s="11">
        <v>2024</v>
      </c>
      <c r="I33" s="11">
        <v>2025</v>
      </c>
      <c r="J33" s="11">
        <v>2026</v>
      </c>
      <c r="K33" s="11">
        <v>2027</v>
      </c>
      <c r="L33" s="11">
        <v>2028</v>
      </c>
      <c r="M33" s="11">
        <v>2029</v>
      </c>
      <c r="N33" s="11">
        <v>2030</v>
      </c>
      <c r="O33" s="11">
        <v>2031</v>
      </c>
      <c r="P33" s="11">
        <v>2032</v>
      </c>
      <c r="Q33" s="11">
        <v>2033</v>
      </c>
      <c r="R33" s="11">
        <v>2034</v>
      </c>
      <c r="S33" s="11">
        <v>2035</v>
      </c>
    </row>
    <row r="34" spans="4:19" x14ac:dyDescent="0.25">
      <c r="E34">
        <v>20.633521014270102</v>
      </c>
      <c r="F34">
        <v>21.114615350753382</v>
      </c>
      <c r="G34">
        <v>24.414325634451835</v>
      </c>
      <c r="H34">
        <v>27.694482330682838</v>
      </c>
      <c r="I34">
        <v>31.095369296976273</v>
      </c>
      <c r="J34">
        <v>33.707834998937905</v>
      </c>
      <c r="K34">
        <v>35.141694416788745</v>
      </c>
      <c r="L34">
        <v>36.551641838504516</v>
      </c>
      <c r="M34">
        <v>37.555652402714784</v>
      </c>
      <c r="N34">
        <v>38.698038611603707</v>
      </c>
      <c r="O34">
        <v>39.680142022513493</v>
      </c>
      <c r="P34">
        <v>40.802682242746911</v>
      </c>
      <c r="Q34">
        <v>41.772521326223256</v>
      </c>
      <c r="R34">
        <v>42.620230886991436</v>
      </c>
      <c r="S34">
        <v>44.113763969000274</v>
      </c>
    </row>
    <row r="35" spans="4:19" x14ac:dyDescent="0.25">
      <c r="D35">
        <f>10^3</f>
        <v>1000</v>
      </c>
      <c r="E35">
        <f>E34*$D35</f>
        <v>20633.5210142701</v>
      </c>
      <c r="F35">
        <f t="shared" ref="F35:S35" si="0">F34*$D35</f>
        <v>21114.615350753382</v>
      </c>
      <c r="G35">
        <f t="shared" si="0"/>
        <v>24414.325634451834</v>
      </c>
      <c r="H35">
        <f t="shared" si="0"/>
        <v>27694.482330682837</v>
      </c>
      <c r="I35">
        <f t="shared" si="0"/>
        <v>31095.369296976274</v>
      </c>
      <c r="J35">
        <f t="shared" si="0"/>
        <v>33707.834998937906</v>
      </c>
      <c r="K35">
        <f t="shared" si="0"/>
        <v>35141.694416788749</v>
      </c>
      <c r="L35">
        <f t="shared" si="0"/>
        <v>36551.641838504518</v>
      </c>
      <c r="M35">
        <f t="shared" si="0"/>
        <v>37555.652402714783</v>
      </c>
      <c r="N35">
        <f t="shared" si="0"/>
        <v>38698.038611603704</v>
      </c>
      <c r="O35">
        <f t="shared" si="0"/>
        <v>39680.142022513493</v>
      </c>
      <c r="P35">
        <f t="shared" si="0"/>
        <v>40802.682242746909</v>
      </c>
      <c r="Q35">
        <f t="shared" si="0"/>
        <v>41772.521326223257</v>
      </c>
      <c r="R35">
        <f t="shared" si="0"/>
        <v>42620.230886991434</v>
      </c>
      <c r="S35">
        <f t="shared" si="0"/>
        <v>44113.763969000276</v>
      </c>
    </row>
  </sheetData>
  <phoneticPr fontId="7" type="noConversion"/>
  <pageMargins left="0.7" right="0.7" top="0.75" bottom="0.75" header="0.3" footer="0.3"/>
  <pageSetup orientation="portrait" verticalDpi="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UC_CO2</vt:lpstr>
    </vt:vector>
  </TitlesOfParts>
  <Company>KanORS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Amit Kanudia</dc:creator>
  <cp:lastModifiedBy>SEREYVATHNA SAN</cp:lastModifiedBy>
  <dcterms:created xsi:type="dcterms:W3CDTF">2009-05-27T15:40:55Z</dcterms:created>
  <dcterms:modified xsi:type="dcterms:W3CDTF">2026-10-25T05:51:25Z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SaveCode">
    <vt:lpwstr>837803483009338</vt:lpwstr>
  </property>
</Properties>
</file>