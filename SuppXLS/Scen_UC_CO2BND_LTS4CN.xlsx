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5_v01\SuppXLS\"/>
    </mc:Choice>
  </mc:AlternateContent>
  <xr:revisionPtr revIDLastSave="0" documentId="13_ncr:1_{A620492F-06BE-4912-ABE4-2451AAC1929E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UC_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L28" i="1"/>
  <c r="K28" i="1"/>
  <c r="J28" i="1"/>
  <c r="I28" i="1"/>
  <c r="H28" i="1"/>
  <c r="G28" i="1"/>
  <c r="F28" i="1"/>
  <c r="E28" i="1"/>
</calcChain>
</file>

<file path=xl/sharedStrings.xml><?xml version="1.0" encoding="utf-8"?>
<sst xmlns="http://schemas.openxmlformats.org/spreadsheetml/2006/main" count="54" uniqueCount="34">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</sst>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2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11</xdr:row>
      <xdr:rowOff>19916</xdr:rowOff>
    </xdr:from>
    <xdr:to>
      <xdr:col>9</xdr:col>
      <xdr:colOff>1085851</xdr:colOff>
      <xdr:row>15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="70" zoomScaleNormal="70" workbookViewId="0">
      <selection activeCell="O17" sqref="O17:P17"/>
    </sheetView>
  </sheetViews>
  <sheetFormatPr defaultRowHeight="15" x14ac:dyDescent="0.25"/>
  <cols>
    <col min="2" max="2" width="14.140625" customWidth="1"/>
    <col min="3" max="3" width="10.28515625" customWidth="1"/>
    <col min="4" max="4" width="30.140625" customWidth="1"/>
    <col min="5" max="6" width="11.140625" customWidth="1"/>
    <col min="7" max="7" width="15.28515625" bestFit="1" customWidth="1"/>
    <col min="8" max="9" width="11.140625" customWidth="1"/>
    <col min="10" max="10" width="17.28515625" bestFit="1" customWidth="1"/>
    <col min="11" max="11" width="12.42578125" bestFit="1" customWidth="1"/>
    <col min="12" max="12" width="9.85546875" customWidth="1"/>
    <col min="13" max="13" width="15" bestFit="1" customWidth="1"/>
    <col min="14" max="14" width="20.5703125" bestFit="1" customWidth="1"/>
    <col min="15" max="15" width="8.140625" bestFit="1" customWidth="1"/>
    <col min="16" max="17" width="7.140625" bestFit="1" customWidth="1"/>
    <col min="18" max="18" width="14.140625" bestFit="1" customWidth="1"/>
  </cols>
  <sheetData>
    <row r="1" spans="1:18" x14ac:dyDescent="0.25">
      <c r="A1" t="s">
        <v>12</v>
      </c>
    </row>
    <row r="2" spans="1:18" x14ac:dyDescent="0.25">
      <c r="B2" s="1" t="s">
        <v>0</v>
      </c>
    </row>
    <row r="3" spans="1:18" x14ac:dyDescent="0.25">
      <c r="B3" s="6" t="s">
        <v>10</v>
      </c>
    </row>
    <row r="4" spans="1:18" x14ac:dyDescent="0.25">
      <c r="J4" t="s">
        <v>21</v>
      </c>
    </row>
    <row r="5" spans="1:18" x14ac:dyDescent="0.25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8" t="s">
        <v>13</v>
      </c>
      <c r="N5" s="4" t="s">
        <v>11</v>
      </c>
      <c r="R5" s="9" t="s">
        <v>27</v>
      </c>
    </row>
    <row r="6" spans="1:18" x14ac:dyDescent="0.25">
      <c r="B6" t="s">
        <v>17</v>
      </c>
      <c r="G6" t="s">
        <v>32</v>
      </c>
      <c r="I6">
        <v>2030</v>
      </c>
      <c r="J6" t="s">
        <v>18</v>
      </c>
      <c r="K6">
        <v>1</v>
      </c>
      <c r="L6" s="7">
        <v>32850.09812767776</v>
      </c>
      <c r="N6" t="s">
        <v>19</v>
      </c>
      <c r="R6" s="10">
        <v>0.95</v>
      </c>
    </row>
    <row r="7" spans="1:18" x14ac:dyDescent="0.25">
      <c r="B7" t="s">
        <v>17</v>
      </c>
      <c r="G7" t="s">
        <v>32</v>
      </c>
      <c r="I7">
        <v>2035</v>
      </c>
      <c r="J7" t="s">
        <v>18</v>
      </c>
      <c r="K7">
        <v>1</v>
      </c>
      <c r="L7" s="7">
        <v>29390.040974058222</v>
      </c>
      <c r="N7" t="s">
        <v>19</v>
      </c>
      <c r="R7" s="10"/>
    </row>
    <row r="8" spans="1:18" x14ac:dyDescent="0.25">
      <c r="B8" t="s">
        <v>17</v>
      </c>
      <c r="G8" t="s">
        <v>32</v>
      </c>
      <c r="I8">
        <v>2050</v>
      </c>
      <c r="J8" t="s">
        <v>18</v>
      </c>
      <c r="K8">
        <v>1</v>
      </c>
      <c r="L8" s="7">
        <v>28200</v>
      </c>
      <c r="N8" t="s">
        <v>19</v>
      </c>
      <c r="R8" s="10"/>
    </row>
    <row r="9" spans="1:18" x14ac:dyDescent="0.25">
      <c r="R9" s="10"/>
    </row>
    <row r="10" spans="1:18" x14ac:dyDescent="0.25">
      <c r="R10" s="10"/>
    </row>
    <row r="18" spans="2:13" x14ac:dyDescent="0.25">
      <c r="B18" t="s">
        <v>14</v>
      </c>
    </row>
    <row r="19" spans="2:13" x14ac:dyDescent="0.25">
      <c r="B19" t="s">
        <v>15</v>
      </c>
    </row>
    <row r="20" spans="2:13" x14ac:dyDescent="0.25">
      <c r="B20" t="s">
        <v>22</v>
      </c>
      <c r="C20" t="s">
        <v>16</v>
      </c>
      <c r="D20" t="s">
        <v>23</v>
      </c>
      <c r="E20" s="11">
        <v>2021</v>
      </c>
      <c r="F20" s="11">
        <v>2022</v>
      </c>
      <c r="G20" s="11">
        <v>2025</v>
      </c>
      <c r="H20" s="11">
        <v>2030</v>
      </c>
      <c r="I20" s="11">
        <v>2035</v>
      </c>
      <c r="J20" s="11">
        <v>2040</v>
      </c>
      <c r="K20" s="11">
        <v>2045</v>
      </c>
      <c r="L20" s="11">
        <v>2050</v>
      </c>
    </row>
    <row r="21" spans="2:13" x14ac:dyDescent="0.25">
      <c r="B21" t="s">
        <v>33</v>
      </c>
      <c r="C21" t="s">
        <v>13</v>
      </c>
      <c r="D21" t="s">
        <v>29</v>
      </c>
      <c r="E21" s="7">
        <v>212.996312980043</v>
      </c>
      <c r="F21" s="7">
        <v>215.126933673108</v>
      </c>
      <c r="G21" s="7">
        <v>219.45021741073</v>
      </c>
      <c r="H21" s="7">
        <v>208.99178617328499</v>
      </c>
      <c r="I21" s="7">
        <v>215.36232794977801</v>
      </c>
      <c r="J21" s="7">
        <v>299.56219780110598</v>
      </c>
      <c r="K21" s="7">
        <v>438.66276574882198</v>
      </c>
      <c r="L21" s="7">
        <v>614.47419912945702</v>
      </c>
      <c r="M21" s="7"/>
    </row>
    <row r="22" spans="2:13" x14ac:dyDescent="0.25">
      <c r="B22" t="s">
        <v>33</v>
      </c>
      <c r="C22" t="s">
        <v>13</v>
      </c>
      <c r="D22" t="s">
        <v>30</v>
      </c>
      <c r="E22" s="7">
        <v>415.09356099436798</v>
      </c>
      <c r="F22" s="7">
        <v>624.84542887571195</v>
      </c>
      <c r="G22" s="7"/>
      <c r="H22" s="7"/>
      <c r="I22" s="7"/>
      <c r="J22" s="7"/>
      <c r="K22" s="7"/>
      <c r="L22" s="7"/>
      <c r="M22" s="7"/>
    </row>
    <row r="23" spans="2:13" x14ac:dyDescent="0.25">
      <c r="B23" t="s">
        <v>33</v>
      </c>
      <c r="C23" t="s">
        <v>13</v>
      </c>
      <c r="D23" t="s">
        <v>24</v>
      </c>
      <c r="E23" s="7">
        <v>4376.8518750000003</v>
      </c>
      <c r="F23" s="7">
        <v>4267.4305781249996</v>
      </c>
      <c r="G23" s="7">
        <v>8137.7181190741803</v>
      </c>
      <c r="H23" s="7">
        <v>11693.390132928</v>
      </c>
      <c r="I23" s="7">
        <v>14602.186331349199</v>
      </c>
      <c r="J23" s="7">
        <v>19125.548650918201</v>
      </c>
      <c r="K23" s="7">
        <v>20895.687152768402</v>
      </c>
      <c r="L23" s="7">
        <v>22832.5364037578</v>
      </c>
      <c r="M23" s="7"/>
    </row>
    <row r="24" spans="2:13" x14ac:dyDescent="0.25">
      <c r="B24" t="s">
        <v>33</v>
      </c>
      <c r="C24" t="s">
        <v>13</v>
      </c>
      <c r="D24" t="s">
        <v>31</v>
      </c>
      <c r="E24" s="7">
        <v>2655.2364891120001</v>
      </c>
      <c r="F24" s="7">
        <v>2604.7174731884402</v>
      </c>
      <c r="G24" s="7">
        <v>2452.8531742294499</v>
      </c>
      <c r="H24" s="7">
        <v>2428.2953689283499</v>
      </c>
      <c r="I24" s="7">
        <v>2558.4322615832202</v>
      </c>
      <c r="J24" s="7">
        <v>2241.06789690606</v>
      </c>
      <c r="K24" s="7">
        <v>2278.1724800616398</v>
      </c>
      <c r="L24" s="7">
        <v>2351.4438346757902</v>
      </c>
      <c r="M24" s="7"/>
    </row>
    <row r="25" spans="2:13" x14ac:dyDescent="0.25">
      <c r="B25" t="s">
        <v>33</v>
      </c>
      <c r="C25" t="s">
        <v>13</v>
      </c>
      <c r="D25" t="s">
        <v>26</v>
      </c>
      <c r="E25" s="7">
        <v>677.38136214383997</v>
      </c>
      <c r="F25" s="7"/>
      <c r="G25" s="7"/>
      <c r="H25" s="7"/>
      <c r="I25" s="7"/>
      <c r="J25" s="7"/>
      <c r="K25" s="7"/>
      <c r="L25" s="7"/>
      <c r="M25" s="7"/>
    </row>
    <row r="26" spans="2:13" x14ac:dyDescent="0.25">
      <c r="B26" t="s">
        <v>33</v>
      </c>
      <c r="C26" t="s">
        <v>13</v>
      </c>
      <c r="D26" t="s">
        <v>25</v>
      </c>
      <c r="E26" s="7">
        <v>3629.4944045064599</v>
      </c>
      <c r="F26" s="7">
        <v>5286.0414232104004</v>
      </c>
      <c r="G26" s="7">
        <v>5592.5571705351804</v>
      </c>
      <c r="H26" s="7">
        <v>4855.1326647040896</v>
      </c>
      <c r="I26" s="7">
        <v>4913.7843375759503</v>
      </c>
      <c r="J26" s="7">
        <v>4958.9207832316597</v>
      </c>
      <c r="K26" s="7">
        <v>4717.3792537071504</v>
      </c>
      <c r="L26" s="7">
        <v>5341.4174679000098</v>
      </c>
      <c r="M26" s="7"/>
    </row>
    <row r="28" spans="2:13" x14ac:dyDescent="0.25">
      <c r="C28" t="s">
        <v>13</v>
      </c>
      <c r="D28" t="s">
        <v>28</v>
      </c>
      <c r="E28" s="7">
        <f t="shared" ref="E28:L28" si="0">SUM(E21:E26)</f>
        <v>11967.054004736712</v>
      </c>
      <c r="F28" s="7">
        <f t="shared" si="0"/>
        <v>12998.161837072661</v>
      </c>
      <c r="G28" s="7">
        <f t="shared" si="0"/>
        <v>16402.578681249539</v>
      </c>
      <c r="H28" s="7">
        <f t="shared" si="0"/>
        <v>19185.809952733725</v>
      </c>
      <c r="I28" s="7">
        <f t="shared" si="0"/>
        <v>22289.765258458148</v>
      </c>
      <c r="J28" s="7">
        <f t="shared" si="0"/>
        <v>26625.09952885703</v>
      </c>
      <c r="K28" s="7">
        <f t="shared" si="0"/>
        <v>28329.901652286011</v>
      </c>
      <c r="L28" s="7">
        <f t="shared" si="0"/>
        <v>31139.871905463056</v>
      </c>
      <c r="M28" s="7"/>
    </row>
    <row r="30" spans="2:13" x14ac:dyDescent="0.25">
      <c r="L30">
        <v>28.2</v>
      </c>
    </row>
    <row r="31" spans="2:13" x14ac:dyDescent="0.25">
      <c r="L31">
        <f>L30*10^3</f>
        <v>28200</v>
      </c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dcterms:created xsi:type="dcterms:W3CDTF">2009-05-27T15:40:55Z</dcterms:created>
  <dcterms:modified xsi:type="dcterms:W3CDTF">2026-10-25T05:38:11Z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