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I:\My Drive\001_Academic\002_Course_Works\003_2026_Sping_Semester\003_Low-Carbon Technologies and Policies\000_ICP_BL\006_Cambodia_TIMES_Model_V002\KHM_TIMES_20260601\SuppXLS\"/>
    </mc:Choice>
  </mc:AlternateContent>
  <xr:revisionPtr revIDLastSave="0" documentId="13_ncr:1_{5E627D22-7630-4B17-94A9-67C0B3C56EB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UC_CO2" sheetId="1" r:id="rId1"/>
  </sheets>
  <calcPr calcId="191029"/>
</workbook>
</file>

<file path=xl/calcChain.xml><?xml version="1.0" encoding="utf-8"?>
<calcChain xmlns="http://schemas.openxmlformats.org/spreadsheetml/2006/main">
  <c r="L32" i="1" l="1"/>
  <c r="L12" i="1" s="1"/>
  <c r="K32" i="1"/>
  <c r="L11" i="1" s="1"/>
  <c r="J32" i="1"/>
  <c r="L10" i="1" s="1"/>
  <c r="I32" i="1"/>
  <c r="L9" i="1" s="1"/>
  <c r="H32" i="1"/>
  <c r="L8" i="1" s="1"/>
  <c r="G32" i="1"/>
  <c r="L7" i="1" s="1"/>
  <c r="F32" i="1"/>
  <c r="L6" i="1" s="1"/>
  <c r="E32" i="1"/>
</calcChain>
</file>

<file path=xl/sharedStrings.xml><?xml version="1.0" encoding="utf-8"?>
<sst xmlns="http://schemas.openxmlformats.org/spreadsheetml/2006/main" count="54" uniqueCount="35">
  <si>
    <t>~UC_Sets: R_E: AllRegions</t>
  </si>
  <si>
    <t>UC_N</t>
  </si>
  <si>
    <t>Pset_CI</t>
  </si>
  <si>
    <t>Year</t>
  </si>
  <si>
    <t>Pset_PN</t>
  </si>
  <si>
    <t>Pset_Set</t>
  </si>
  <si>
    <t>Cset_CN</t>
  </si>
  <si>
    <t>Pset_CO</t>
  </si>
  <si>
    <t>Attribute</t>
  </si>
  <si>
    <t>LimType</t>
  </si>
  <si>
    <t>~UC_Sets: T_E:</t>
  </si>
  <si>
    <t>UC_Desc</t>
  </si>
  <si>
    <t>UC - Each Region/Period</t>
  </si>
  <si>
    <t>REG1</t>
  </si>
  <si>
    <t>Table Name: Emissions</t>
  </si>
  <si>
    <t>Active Unit: Kt</t>
  </si>
  <si>
    <t>Region</t>
  </si>
  <si>
    <t>AU_CO2_BND</t>
  </si>
  <si>
    <t>UP</t>
  </si>
  <si>
    <t>CO2 Bound Constraint</t>
  </si>
  <si>
    <t>UC_COMNET</t>
  </si>
  <si>
    <t>UC_RHSRTS~0</t>
  </si>
  <si>
    <t>~UC_T:UC_RHSRTS</t>
  </si>
  <si>
    <t>Scenario</t>
  </si>
  <si>
    <t>CommodityDesc\Period</t>
  </si>
  <si>
    <t>Electricity Plants Carbon dioxide</t>
  </si>
  <si>
    <t>Transport Carbon dioxide</t>
  </si>
  <si>
    <t>Residential Carbon dioxide</t>
  </si>
  <si>
    <t>Reduction Coeff</t>
  </si>
  <si>
    <t>Total</t>
  </si>
  <si>
    <t>Agriculture Carbon dioxide</t>
  </si>
  <si>
    <t>Commercial Carbon dioxide</t>
  </si>
  <si>
    <t>Industry Carbon dioxide</t>
  </si>
  <si>
    <t>*CO2</t>
  </si>
  <si>
    <t>DemoS_010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</si>
</sst>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8.25"/>
      <color rgb="FF000000"/>
      <name val="Microsoft Sans Serif"/>
      <family val="2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AF1FB"/>
        <bgColor rgb="FFEAF1FB"/>
      </patternFill>
    </fill>
  </fills>
  <borders count="2">
    <border>
      <left/>
      <right/>
      <top/>
      <bottom/>
      <diagonal/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  <diagonal/>
    </border>
  </borders>
  <cellStyleXfs count="3">
    <xf numFmtId="0" fontId="0" fillId="0" borderId="0"/>
    <xf numFmtId="0" fontId="5" fillId="0" borderId="0"/>
    <xf numFmtId="0" fontId="2" fillId="0" borderId="0"/>
  </cellStyleXfs>
  <cellXfs count="13">
    <xf numFmtId="0" fontId="0" fillId="0" borderId="0" xfId="0"/>
    <xf numFmtId="0" fontId="3" fillId="0" borderId="0" xfId="2" applyFont="1"/>
    <xf numFmtId="0" fontId="4" fillId="2" borderId="0" xfId="0" applyFont="1" applyFill="1"/>
    <xf numFmtId="0" fontId="4" fillId="4" borderId="0" xfId="0" applyFont="1" applyFill="1"/>
    <xf numFmtId="0" fontId="4" fillId="5" borderId="0" xfId="0" applyFont="1" applyFill="1"/>
    <xf numFmtId="0" fontId="4" fillId="0" borderId="0" xfId="0" applyFont="1"/>
    <xf numFmtId="0" fontId="1" fillId="0" borderId="0" xfId="2" applyFont="1"/>
    <xf numFmtId="0" fontId="5" fillId="0" borderId="0" xfId="0" applyFont="1"/>
    <xf numFmtId="1" fontId="0" fillId="0" borderId="0" xfId="0" applyNumberFormat="1"/>
    <xf numFmtId="0" fontId="5" fillId="6" borderId="0" xfId="0" applyFont="1" applyFill="1"/>
    <xf numFmtId="0" fontId="5" fillId="3" borderId="0" xfId="0" applyFont="1" applyFill="1"/>
    <xf numFmtId="9" fontId="0" fillId="0" borderId="0" xfId="0" applyNumberFormat="1" applyAlignment="1">
      <alignment horizontal="center"/>
    </xf>
    <xf numFmtId="0" fontId="6" fillId="7" borderId="1" xfId="0" applyFont="1" applyFill="1" applyBorder="1" applyAlignment="1">
      <alignment horizontal="right" vertical="center"/>
    </xf>
  </cellXfs>
  <cellStyles count="3">
    <cellStyle name="Normal" xfId="0" builtinId="0"/>
    <cellStyle name="Normal 10" xfId="1" xr:uid="{00000000-0005-0000-0000-000001000000}"/>
    <cellStyle name="Normale_Scen_UC_IND-StrucConst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578427</xdr:colOff>
      <xdr:row>15</xdr:row>
      <xdr:rowOff>19916</xdr:rowOff>
    </xdr:from>
    <xdr:to>
      <xdr:col>9</xdr:col>
      <xdr:colOff>1085851</xdr:colOff>
      <xdr:row>19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883B7BA-FDB7-47B9-AD90-521B80A59637}"/>
            </a:ext>
          </a:extLst>
        </xdr:cNvPr>
        <xdr:cNvSpPr txBox="1"/>
      </xdr:nvSpPr>
      <xdr:spPr>
        <a:xfrm>
          <a:off x="578427" y="1734416"/>
          <a:ext cx="8746549" cy="75160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Get and copy the ELCCO2 and TRACO2 emissions (kt) from the base scenario results (run name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DemoS_007)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Build a user constraint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that specifcy the maximum amount of emissions in a secific year for the sum of TRACO2 and ELCCO2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the reduction target(s) (%) to reach at specific year(s) in each region using the COM_BDNNET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attribute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2"/>
  <sheetViews>
    <sheetView tabSelected="1" zoomScale="70" zoomScaleNormal="70" workbookViewId="0">
      <selection activeCell="T26" sqref="T26"/>
    </sheetView>
  </sheetViews>
  <sheetFormatPr defaultRowHeight="14.4" x14ac:dyDescent="0.3"/>
  <cols>
    <col min="2" max="2" width="14.109375" customWidth="1"/>
    <col min="3" max="3" width="10.33203125" customWidth="1"/>
    <col min="4" max="4" width="30.109375" customWidth="1"/>
    <col min="5" max="6" width="11.109375" customWidth="1"/>
    <col min="7" max="7" width="15.33203125" bestFit="1" customWidth="1"/>
    <col min="8" max="9" width="11.109375" customWidth="1"/>
    <col min="10" max="10" width="17.33203125" bestFit="1" customWidth="1"/>
    <col min="11" max="11" width="12.44140625" bestFit="1" customWidth="1"/>
    <col min="12" max="12" width="9.88671875" customWidth="1"/>
    <col min="13" max="13" width="15" bestFit="1" customWidth="1"/>
    <col min="14" max="14" width="20.5546875" bestFit="1" customWidth="1"/>
    <col min="15" max="15" width="8.109375" bestFit="1" customWidth="1"/>
    <col min="16" max="17" width="7.109375" bestFit="1" customWidth="1"/>
    <col min="18" max="18" width="14.109375" bestFit="1" customWidth="1"/>
  </cols>
  <sheetData>
    <row r="1" spans="1:18" x14ac:dyDescent="0.3">
      <c r="A1" t="s">
        <v>12</v>
      </c>
    </row>
    <row r="2" spans="1:18" x14ac:dyDescent="0.3">
      <c r="B2" s="1" t="s">
        <v>0</v>
      </c>
    </row>
    <row r="3" spans="1:18" x14ac:dyDescent="0.3">
      <c r="B3" s="6" t="s">
        <v>10</v>
      </c>
    </row>
    <row r="4" spans="1:18" x14ac:dyDescent="0.3">
      <c r="J4" t="s">
        <v>22</v>
      </c>
    </row>
    <row r="5" spans="1:18" x14ac:dyDescent="0.3">
      <c r="B5" s="4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3" t="s">
        <v>6</v>
      </c>
      <c r="H5" s="3" t="s">
        <v>8</v>
      </c>
      <c r="I5" s="3" t="s">
        <v>3</v>
      </c>
      <c r="J5" s="3" t="s">
        <v>9</v>
      </c>
      <c r="K5" s="5" t="s">
        <v>20</v>
      </c>
      <c r="L5" s="9" t="s">
        <v>13</v>
      </c>
      <c r="M5" s="7" t="s">
        <v>21</v>
      </c>
      <c r="N5" s="4" t="s">
        <v>11</v>
      </c>
      <c r="R5" s="10" t="s">
        <v>28</v>
      </c>
    </row>
    <row r="6" spans="1:18" x14ac:dyDescent="0.3">
      <c r="B6" t="s">
        <v>17</v>
      </c>
      <c r="G6" t="s">
        <v>33</v>
      </c>
      <c r="I6">
        <v>2022</v>
      </c>
      <c r="J6" t="s">
        <v>18</v>
      </c>
      <c r="K6">
        <v>1</v>
      </c>
      <c r="L6" s="8">
        <f>F32*(1-R6)</f>
        <v>6499.0809185363305</v>
      </c>
      <c r="M6">
        <v>5</v>
      </c>
      <c r="N6" t="s">
        <v>19</v>
      </c>
      <c r="R6" s="11">
        <v>0.5</v>
      </c>
    </row>
    <row r="7" spans="1:18" x14ac:dyDescent="0.3">
      <c r="G7" t="s">
        <v>33</v>
      </c>
      <c r="I7">
        <v>2025</v>
      </c>
      <c r="J7" t="s">
        <v>18</v>
      </c>
      <c r="K7">
        <v>1</v>
      </c>
      <c r="L7" s="8">
        <f>G32*(1-R7)</f>
        <v>8201.2893406247695</v>
      </c>
      <c r="R7" s="11">
        <v>0.5</v>
      </c>
    </row>
    <row r="8" spans="1:18" x14ac:dyDescent="0.3">
      <c r="G8" t="s">
        <v>33</v>
      </c>
      <c r="I8">
        <v>2030</v>
      </c>
      <c r="K8">
        <v>1</v>
      </c>
      <c r="L8" s="8">
        <f>H32*(1-R8)</f>
        <v>9592.9049763668627</v>
      </c>
      <c r="R8" s="11">
        <v>0.5</v>
      </c>
    </row>
    <row r="9" spans="1:18" x14ac:dyDescent="0.3">
      <c r="G9" t="s">
        <v>33</v>
      </c>
      <c r="I9">
        <v>2035</v>
      </c>
      <c r="K9">
        <v>1</v>
      </c>
      <c r="L9" s="8">
        <f>I32*(1-R9)</f>
        <v>11144.882629229074</v>
      </c>
      <c r="R9" s="11">
        <v>0.5</v>
      </c>
    </row>
    <row r="10" spans="1:18" x14ac:dyDescent="0.3">
      <c r="G10" t="s">
        <v>33</v>
      </c>
      <c r="I10">
        <v>2040</v>
      </c>
      <c r="K10">
        <v>1</v>
      </c>
      <c r="L10" s="8">
        <f>J32*(1-R10)</f>
        <v>13312.549764428515</v>
      </c>
      <c r="R10" s="11">
        <v>0.5</v>
      </c>
    </row>
    <row r="11" spans="1:18" x14ac:dyDescent="0.3">
      <c r="G11" t="s">
        <v>33</v>
      </c>
      <c r="I11">
        <v>2045</v>
      </c>
      <c r="K11">
        <v>1</v>
      </c>
      <c r="L11" s="8">
        <f>K32*(1-R11)</f>
        <v>14164.950826143006</v>
      </c>
      <c r="R11" s="11">
        <v>0.5</v>
      </c>
    </row>
    <row r="12" spans="1:18" x14ac:dyDescent="0.3">
      <c r="G12" t="s">
        <v>33</v>
      </c>
      <c r="I12">
        <v>2050</v>
      </c>
      <c r="K12">
        <v>1</v>
      </c>
      <c r="L12" s="8">
        <f>L32*(1-R12)</f>
        <v>15569.935952731528</v>
      </c>
      <c r="R12" s="11">
        <v>0.5</v>
      </c>
    </row>
    <row r="13" spans="1:18" x14ac:dyDescent="0.3">
      <c r="L13" s="8"/>
      <c r="R13" s="11"/>
    </row>
    <row r="14" spans="1:18" x14ac:dyDescent="0.3">
      <c r="R14" s="11"/>
    </row>
    <row r="22" spans="2:13" x14ac:dyDescent="0.3">
      <c r="B22" t="s">
        <v>14</v>
      </c>
    </row>
    <row r="23" spans="2:13" x14ac:dyDescent="0.3">
      <c r="B23" t="s">
        <v>15</v>
      </c>
    </row>
    <row r="24" spans="2:13" x14ac:dyDescent="0.3">
      <c r="B24" t="s">
        <v>23</v>
      </c>
      <c r="C24" t="s">
        <v>16</v>
      </c>
      <c r="D24" t="s">
        <v>24</v>
      </c>
      <c r="E24" s="12">
        <v>2021</v>
      </c>
      <c r="F24" s="12">
        <v>2022</v>
      </c>
      <c r="G24" s="12">
        <v>2025</v>
      </c>
      <c r="H24" s="12">
        <v>2030</v>
      </c>
      <c r="I24" s="12">
        <v>2035</v>
      </c>
      <c r="J24" s="12">
        <v>2040</v>
      </c>
      <c r="K24" s="12">
        <v>2045</v>
      </c>
      <c r="L24" s="12">
        <v>2050</v>
      </c>
    </row>
    <row r="25" spans="2:13" x14ac:dyDescent="0.3">
      <c r="B25" t="s">
        <v>34</v>
      </c>
      <c r="C25" t="s">
        <v>13</v>
      </c>
      <c r="D25" t="s">
        <v>30</v>
      </c>
      <c r="E25" s="8">
        <v>212.996312980043</v>
      </c>
      <c r="F25" s="8">
        <v>215.126933673108</v>
      </c>
      <c r="G25" s="8">
        <v>219.45021741073</v>
      </c>
      <c r="H25" s="8">
        <v>208.99178617328499</v>
      </c>
      <c r="I25" s="8">
        <v>215.36232794977801</v>
      </c>
      <c r="J25" s="8">
        <v>299.56219780110598</v>
      </c>
      <c r="K25" s="8">
        <v>438.66276574882198</v>
      </c>
      <c r="L25" s="8">
        <v>614.47419912945702</v>
      </c>
      <c r="M25" s="8"/>
    </row>
    <row r="26" spans="2:13" x14ac:dyDescent="0.3">
      <c r="B26" t="s">
        <v>34</v>
      </c>
      <c r="C26" t="s">
        <v>13</v>
      </c>
      <c r="D26" t="s">
        <v>31</v>
      </c>
      <c r="E26" s="8">
        <v>415.09356099436798</v>
      </c>
      <c r="F26" s="8">
        <v>624.84542887571195</v>
      </c>
      <c r="G26" s="8"/>
      <c r="H26" s="8"/>
      <c r="I26" s="8"/>
      <c r="J26" s="8"/>
      <c r="K26" s="8"/>
      <c r="L26" s="8"/>
      <c r="M26" s="8"/>
    </row>
    <row r="27" spans="2:13" x14ac:dyDescent="0.3">
      <c r="B27" t="s">
        <v>34</v>
      </c>
      <c r="C27" t="s">
        <v>13</v>
      </c>
      <c r="D27" t="s">
        <v>25</v>
      </c>
      <c r="E27" s="8">
        <v>4376.8518750000003</v>
      </c>
      <c r="F27" s="8">
        <v>4267.4305781249996</v>
      </c>
      <c r="G27" s="8">
        <v>8137.7181190741803</v>
      </c>
      <c r="H27" s="8">
        <v>11693.390132928</v>
      </c>
      <c r="I27" s="8">
        <v>14602.186331349199</v>
      </c>
      <c r="J27" s="8">
        <v>19125.548650918201</v>
      </c>
      <c r="K27" s="8">
        <v>20895.687152768402</v>
      </c>
      <c r="L27" s="8">
        <v>22832.5364037578</v>
      </c>
      <c r="M27" s="8"/>
    </row>
    <row r="28" spans="2:13" x14ac:dyDescent="0.3">
      <c r="B28" t="s">
        <v>34</v>
      </c>
      <c r="C28" t="s">
        <v>13</v>
      </c>
      <c r="D28" t="s">
        <v>32</v>
      </c>
      <c r="E28" s="8">
        <v>2655.2364891120001</v>
      </c>
      <c r="F28" s="8">
        <v>2604.7174731884402</v>
      </c>
      <c r="G28" s="8">
        <v>2452.8531742294499</v>
      </c>
      <c r="H28" s="8">
        <v>2428.2953689283499</v>
      </c>
      <c r="I28" s="8">
        <v>2558.4322615832202</v>
      </c>
      <c r="J28" s="8">
        <v>2241.06789690606</v>
      </c>
      <c r="K28" s="8">
        <v>2278.1724800616398</v>
      </c>
      <c r="L28" s="8">
        <v>2351.4438346757902</v>
      </c>
      <c r="M28" s="8"/>
    </row>
    <row r="29" spans="2:13" x14ac:dyDescent="0.3">
      <c r="B29" t="s">
        <v>34</v>
      </c>
      <c r="C29" t="s">
        <v>13</v>
      </c>
      <c r="D29" t="s">
        <v>27</v>
      </c>
      <c r="E29" s="8">
        <v>677.38136214383997</v>
      </c>
      <c r="F29" s="8"/>
      <c r="G29" s="8"/>
      <c r="H29" s="8"/>
      <c r="I29" s="8"/>
      <c r="J29" s="8"/>
      <c r="K29" s="8"/>
      <c r="L29" s="8"/>
      <c r="M29" s="8"/>
    </row>
    <row r="30" spans="2:13" x14ac:dyDescent="0.3">
      <c r="B30" t="s">
        <v>34</v>
      </c>
      <c r="C30" t="s">
        <v>13</v>
      </c>
      <c r="D30" t="s">
        <v>26</v>
      </c>
      <c r="E30" s="8">
        <v>3629.4944045064599</v>
      </c>
      <c r="F30" s="8">
        <v>5286.0414232104004</v>
      </c>
      <c r="G30" s="8">
        <v>5592.5571705351804</v>
      </c>
      <c r="H30" s="8">
        <v>4855.1326647040896</v>
      </c>
      <c r="I30" s="8">
        <v>4913.7843375759503</v>
      </c>
      <c r="J30" s="8">
        <v>4958.9207832316597</v>
      </c>
      <c r="K30" s="8">
        <v>4717.3792537071504</v>
      </c>
      <c r="L30" s="8">
        <v>5341.4174679000098</v>
      </c>
      <c r="M30" s="8"/>
    </row>
    <row r="32" spans="2:13" x14ac:dyDescent="0.3">
      <c r="C32" t="s">
        <v>13</v>
      </c>
      <c r="D32" t="s">
        <v>29</v>
      </c>
      <c r="E32" s="8">
        <f t="shared" ref="E32:L32" si="0">SUM(E25:E30)</f>
        <v>11967.054004736712</v>
      </c>
      <c r="F32" s="8">
        <f t="shared" si="0"/>
        <v>12998.161837072661</v>
      </c>
      <c r="G32" s="8">
        <f t="shared" si="0"/>
        <v>16402.578681249539</v>
      </c>
      <c r="H32" s="8">
        <f t="shared" si="0"/>
        <v>19185.809952733725</v>
      </c>
      <c r="I32" s="8">
        <f t="shared" si="0"/>
        <v>22289.765258458148</v>
      </c>
      <c r="J32" s="8">
        <f t="shared" si="0"/>
        <v>26625.09952885703</v>
      </c>
      <c r="K32" s="8">
        <f t="shared" si="0"/>
        <v>28329.901652286011</v>
      </c>
      <c r="L32" s="8">
        <f t="shared" si="0"/>
        <v>31139.871905463056</v>
      </c>
      <c r="M32" s="8"/>
    </row>
  </sheetData>
  <phoneticPr fontId="7" type="noConversion"/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UC_CO2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SAN SEREYVATHNA/MME_CAMBODIA</cp:lastModifiedBy>
  <dcterms:created xsi:type="dcterms:W3CDTF">2009-05-27T15:40:55Z</dcterms:created>
  <dcterms:modified xsi:type="dcterms:W3CDTF">2026-06-01T08:28:55Z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837803483009338</vt:lpwstr>
  </property>
</Properties>
</file>