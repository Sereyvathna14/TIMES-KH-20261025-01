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a0bd1783540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C" sheetId="12" r:id="R3d3c9966c2214fb9"/>
    <x:sheet xmlns:r="http://schemas.openxmlformats.org/officeDocument/2006/relationships" name="IND" sheetId="8" r:id="R766e70b8df094adb"/>
    <x:sheet xmlns:r="http://schemas.openxmlformats.org/officeDocument/2006/relationships" name="PRI" sheetId="7" r:id="R2d8ff393b1684ff1"/>
    <x:sheet xmlns:r="http://schemas.openxmlformats.org/officeDocument/2006/relationships" name="RCA" sheetId="6" r:id="R25fda397a2e04cbe"/>
    <x:sheet xmlns:r="http://schemas.openxmlformats.org/officeDocument/2006/relationships" name="TRA" sheetId="5" r:id="Rff0998dd5aaa4a49"/>
    <x:sheet xmlns:r="http://schemas.openxmlformats.org/officeDocument/2006/relationships" name="IEA-ETSAP_ETechDS" sheetId="9" r:id="Rac90d9c57ef240a8"/>
    <x:sheet xmlns:r="http://schemas.openxmlformats.org/officeDocument/2006/relationships" name="PDP_CAPACITY_AUDIT" sheetId="13" r:id="R9bf65e23af4f43ba"/>
  </x:sheets>
  <x:definedNames>
    <x:definedName name="FID_1">[1]AGR_Fuels!$A$2</x:definedName>
  </x:definedNames>
</x:workbook>
</file>

<file path=xl/comments1.xml><?xml version="1.0" encoding="utf-8"?>
<x:comments xmlns:x="http://schemas.openxmlformats.org/spreadsheetml/2006/main">
  <x:authors>
    <x:author>Gary Goldstein</x:author>
    <x:author>Amit Kanudia</x:author>
    <x:author>Maurizio Gargiulo</x:author>
  </x:authors>
  <x:commentList>
    <x:comment ref="K3" authorId="0">
      <x:text>
        <x:r>
          <x:t>Csets declarations are inherited until the next one is encountered.
Allowed Cset:
NRG (Energy)
ENV (Emission)
DEM (Demand)
MAT (Material)
FIN (Financial)</x:t>
        </x:r>
      </x:text>
    </x:comment>
    <x:comment ref="P3" authorId="1">
      <x:text>
        <x:r>
          <x:t>Amit Kanudia:
LO for PRODUCTION &gt;= CONSUMPTION (Default)
FX for PRODUCTION = CONSUMPTION
UP for PRODUCTION &lt;= CONSUMPTION</x:t>
        </x:r>
      </x:text>
    </x:comment>
    <x:comment ref="Q3" authorId="2">
      <x:text>
        <x:r>
          <x:t>Allowed CTSLvl
SEASON (Seasonal level)
WEEKLY (Weekly level)
DAYNITE (day and night level)</x:t>
        </x:r>
      </x:text>
    </x:comment>
    <x:comment ref="R3" authorId="2">
      <x:text>
        <x:r>
          <x:t>Allowed PeakTS
ANNUAL (to generate Peak Equation for all the TimeSlices)
User TS (to generate Peak Equation for a single TS)</x:t>
        </x:r>
      </x:text>
    </x:comment>
    <x:comment ref="S3" authorId="2">
      <x:text>
        <x:r>
          <x:t>Allowed Ctype
ELC (Electricity)</x:t>
        </x:r>
      </x:text>
    </x:comment>
    <x:comment ref="I8" authorId="2">
      <x:text>
        <x:r>
          <x:t>This attribute is used to assign a production limit.
By defautt is defined like fixed share
UP
If you want fix or lower add
~FX
~LO</x:t>
        </x:r>
      </x:text>
    </x:comment>
    <x:comment ref="Q8" authorId="2">
      <x:text>
        <x:r>
          <x:t>Allowed TsLvl
ANNUAL (Annual level)
SEASON (Seasonal level)
WEEKLY (Weekly level)
DAYNITE (day and night level)</x:t>
        </x:r>
      </x:text>
    </x:comment>
    <x:comment ref="R8" authorId="1">
      <x:text>
        <x:r>
          <x:t>Amit Kanudia:
Needed only when one wants to override the VEDA default assignment
</x:t>
        </x:r>
      </x:text>
    </x:comment>
    <x:comment ref="S8" authorId="2">
      <x:text>
        <x:r>
          <x:t>Allowed Vintage
NO (if empty by default mean NO)
YES</x:t>
        </x:r>
      </x:text>
    </x:comment>
    <x:comment ref="K9" authorId="2">
      <x:text>
        <x:r>
          <x:t>Sets declarations are inherited. 
Allowed Process Sets
ELE (Thermal Electric Power Plant)
CHP (Combined Heat and Power)
STGTSS (Pump Storage)
STGIPS (Pump Storage IP)
PRE (Genric Process/Technology)
DMD (Demand Device)
IMP (Import)
EXP (Export)
MIN (Mining Process)
RNW (Renewable Technology)
HPL (Heating Plant)</x:t>
        </x:r>
      </x:text>
    </x:comment>
  </x:commentList>
</x:comments>
</file>

<file path=xl/comments2.xml><?xml version="1.0" encoding="utf-8"?>
<x:comments xmlns:x="http://schemas.openxmlformats.org/spreadsheetml/2006/main">
  <x:authors>
    <x:author>Maurizio Gargiulo</x:author>
  </x:authors>
  <x:commentList>
    <x:comment ref="I17" authorId="0">
      <x:text>
        <x:r>
          <x:t>Euro/kW
</x:t>
        </x:r>
      </x:text>
    </x:comment>
    <x:comment ref="J17" authorId="0">
      <x:text>
        <x:r>
          <x:t>Euro/GW year</x:t>
        </x:r>
      </x:text>
    </x:comment>
    <x:comment ref="I18" authorId="0">
      <x:text>
        <x:r>
          <x:t>Euro/kW
</x:t>
        </x:r>
      </x:text>
    </x:comment>
    <x:comment ref="J18" authorId="0">
      <x:text>
        <x:r>
          <x:t>Euro/GW year</x:t>
        </x:r>
      </x:text>
    </x:comment>
    <x:comment ref="I22" authorId="0">
      <x:text>
        <x:r>
          <x:t>Euro/kW
</x:t>
        </x:r>
      </x:text>
    </x:comment>
    <x:comment ref="J22" authorId="0">
      <x:text>
        <x:r>
          <x:t>Euro/GW year</x:t>
        </x:r>
      </x:text>
    </x:comment>
    <x:comment ref="I23" authorId="0">
      <x:text>
        <x:r>
          <x:t>Euro/kW
</x:t>
        </x:r>
      </x:text>
    </x:comment>
    <x:comment ref="J23" authorId="0">
      <x:text>
        <x:r>
          <x:t>Euro/GW year</x:t>
        </x:r>
      </x:text>
    </x:comment>
  </x:commentList>
</x:comments>
</file>

<file path=xl/comments3.xml><?xml version="1.0" encoding="utf-8"?>
<x:comments xmlns:x="http://schemas.openxmlformats.org/spreadsheetml/2006/main">
  <x:authors>
    <x:author>Gary Goldstein</x:author>
    <x:author>Amit Kanudia</x:author>
    <x:author>Maurizio Gargiulo</x:author>
  </x:authors>
  <x:commentList>
    <x:comment ref="N3" authorId="0">
      <x:text>
        <x:r>
          <x:t>Csets declarations are inherited until the next one is encountered.
Allowed Cset:
NRG (Energy)
ENV (Emission)
DEM (Demand)
MAT (Material)
FIN (Financial)</x:t>
        </x:r>
      </x:text>
    </x:comment>
    <x:comment ref="S3" authorId="1">
      <x:text>
        <x:r>
          <x:t>Amit Kanudia:
LO for PRODUCTION &gt;= CONSUMPTION (Default)
FX for PRODUCTION = CONSUMPTION
UP for PRODUCTION &lt;= CONSUMPTION</x:t>
        </x:r>
      </x:text>
    </x:comment>
    <x:comment ref="T3" authorId="2">
      <x:text>
        <x:r>
          <x:t>Allowed CTSLvl
SEASON (Seasonal level)
WEEKLY (Weekly level)
DAYNITE (day and night level)</x:t>
        </x:r>
      </x:text>
    </x:comment>
    <x:comment ref="U3" authorId="2">
      <x:text>
        <x:r>
          <x:t>Allowed PeakTS
ANNUAL (to generate Peak Equation for all the TimeSlices)
User TS (to generate Peak Equation for a single TS)</x:t>
        </x:r>
      </x:text>
    </x:comment>
    <x:comment ref="V3" authorId="2">
      <x:text>
        <x:r>
          <x:t>Allowed Ctype
ELC (Electricity)</x:t>
        </x:r>
      </x:text>
    </x:comment>
    <x:comment ref="T9" authorId="2">
      <x:text>
        <x:r>
          <x:t>Allowed TsLvl
ANNUAL (Annual level)
SEASON (Seasonal level)
WEEKLY (Weekly level)
DAYNITE (day and night level)</x:t>
        </x:r>
      </x:text>
    </x:comment>
    <x:comment ref="U9" authorId="1">
      <x:text>
        <x:r>
          <x:t>Amit Kanudia:
Needed only when one wants to override the VEDA default assignment
</x:t>
        </x:r>
      </x:text>
    </x:comment>
    <x:comment ref="V9" authorId="2">
      <x:text>
        <x:r>
          <x:t>Allowed Vintage
NO (if empty by default mean NO)
YES</x:t>
        </x:r>
      </x:text>
    </x:comment>
    <x:comment ref="N10" authorId="2">
      <x:text>
        <x:r>
          <x:t>Sets declarations are inherited. 
Allowed Process Sets
ELE (Thermal Electric Power Plant)
CHP (Combined Heat and Power)
STGTSS (Pump Storage)
STGIPS (Pump Storage IP)
PRE (Genric Process/Technology)
DMD (Demand Device)
IMP (Import)
EXP (Export)
MIN (Mining Process)
RNW (Renewable Technology)
HPL (Heating Plant)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<x:sst xmlns:x="http://schemas.openxmlformats.org/spreadsheetml/2006/main">
  <x:si>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*Declare and characterize the new technologies by sector. Sheet names should indicate the sector as &lt;SectorName&gt;_&lt;Anything&gt;</x:t>
  </x:si>
  <x:si>
    <x:t xml:space="preserve">Sector Name</x:t>
  </x:si>
  <x:si>
    <x:t xml:space="preserve">Description</x:t>
  </x:si>
  <x:si>
    <x:t xml:space="preserve">Type</x:t>
  </x:si>
  <x:si>
    <x:t xml:space="preserve">Activity Unit</x:t>
  </x:si>
  <x:si>
    <x:t xml:space="preserve">Capacity unit</x:t>
  </x:si>
  <x:si>
    <x:t xml:space="preserve">Currency Unit</x:t>
  </x:si>
  <x:si>
    <x:t xml:space="preserve">New</x:t>
  </x:si>
  <x:si>
    <x:t xml:space="preserve">ELC</x:t>
  </x:si>
  <x:si>
    <x:t xml:space="preserve">Electricity Plants</x:t>
  </x:si>
  <x:si>
    <x:t xml:space="preserve">Power Plants</x:t>
  </x:si>
  <x:si>
    <x:t xml:space="preserve">PJ</x:t>
  </x:si>
  <x:si>
    <x:t xml:space="preserve">GW</x:t>
  </x:si>
  <x:si>
    <x:t xml:space="preserve">M$2021</x:t>
  </x:si>
  <x:si>
    <x:t xml:space="preserve">N</x:t>
  </x:si>
  <x:si>
    <x:t xml:space="preserve">~FI_Comm</x:t>
  </x:si>
  <x:si>
    <x:t xml:space="preserve">Csets</x:t>
  </x:si>
  <x:si>
    <x:t xml:space="preserve">Region</x:t>
  </x:si>
  <x:si>
    <x:t xml:space="preserve">CommName</x:t>
  </x:si>
  <x:si>
    <x:t xml:space="preserve">CommDesc</x:t>
  </x:si>
  <x:si>
    <x:t xml:space="preserve">Unit</x:t>
  </x:si>
  <x:si>
    <x:t xml:space="preserve">LimType</x:t>
  </x:si>
  <x:si>
    <x:t xml:space="preserve">CTSLvl</x:t>
  </x:si>
  <x:si>
    <x:t xml:space="preserve">PeakTS</x:t>
  </x:si>
  <x:si>
    <x:t xml:space="preserve">Ctype</x:t>
  </x:si>
  <x:si>
    <x:t xml:space="preserve">Power Plant Type</x:t>
  </x:si>
  <x:si>
    <x:t xml:space="preserve">Thermal</x:t>
  </x:si>
  <x:si>
    <x:t xml:space="preserve">CHP</x:t>
  </x:si>
  <x:si>
    <x:t xml:space="preserve">Renewable</x:t>
  </x:si>
  <x:si>
    <x:t xml:space="preserve">Nuclear</x:t>
  </x:si>
  <x:si>
    <x:t xml:space="preserve">Storage</x:t>
  </x:si>
  <x:si>
    <x:t xml:space="preserve">*Commodity Set Membership</x:t>
  </x:si>
  <x:si>
    <x:t xml:space="preserve">Region Name</x:t>
  </x:si>
  <x:si>
    <x:t xml:space="preserve">Commodity Name</x:t>
  </x:si>
  <x:si>
    <x:t xml:space="preserve">Commodity Description</x:t>
  </x:si>
  <x:si>
    <x:t xml:space="preserve">Sense of the Balance EQN.</x:t>
  </x:si>
  <x:si>
    <x:t xml:space="preserve">Timeslice Level</x:t>
  </x:si>
  <x:si>
    <x:t xml:space="preserve">Peak Monitoring</x:t>
  </x:si>
  <x:si>
    <x:t xml:space="preserve">Electricity Indicator</x:t>
  </x:si>
  <x:si>
    <x:t xml:space="preserve">Code</x:t>
  </x:si>
  <x:si>
    <x:t xml:space="preserve">T</x:t>
  </x:si>
  <x:si>
    <x:t xml:space="preserve">C</x:t>
  </x:si>
  <x:si>
    <x:t xml:space="preserve">R</x:t>
  </x:si>
  <x:si>
    <x:t xml:space="preserve">S</x:t>
  </x:si>
  <x:si>
    <x:t xml:space="preserve">~FI_T</x:t>
  </x:si>
  <x:si>
    <x:t xml:space="preserve">~FI_Process</x:t>
  </x:si>
  <x:si>
    <x:t xml:space="preserve">TechName</x:t>
  </x:si>
  <x:si>
    <x:t xml:space="preserve">Comm-IN</x:t>
  </x:si>
  <x:si>
    <x:t xml:space="preserve">Comm-OUT</x:t>
  </x:si>
  <x:si>
    <x:t xml:space="preserve">Year</x:t>
  </x:si>
  <x:si>
    <x:t xml:space="preserve">START</x:t>
  </x:si>
  <x:si>
    <x:t xml:space="preserve">EFF</x:t>
  </x:si>
  <x:si>
    <x:t xml:space="preserve">AFA</x:t>
  </x:si>
  <x:si>
    <x:t xml:space="preserve">INVCOST</x:t>
  </x:si>
  <x:si>
    <x:t xml:space="preserve">FIXOM</x:t>
  </x:si>
  <x:si>
    <x:t xml:space="preserve">VAROM</x:t>
  </x:si>
  <x:si>
    <x:t xml:space="preserve">LIFE</x:t>
  </x:si>
  <x:si>
    <x:t xml:space="preserve">CAP2ACT</x:t>
  </x:si>
  <x:si>
    <x:t xml:space="preserve">Peak</x:t>
  </x:si>
  <x:si>
    <x:t xml:space="preserve">Sets</x:t>
  </x:si>
  <x:si>
    <x:t xml:space="preserve">TechDesc</x:t>
  </x:si>
  <x:si>
    <x:t xml:space="preserve">Tact</x:t>
  </x:si>
  <x:si>
    <x:t xml:space="preserve">Tcap</x:t>
  </x:si>
  <x:si>
    <x:t xml:space="preserve">Tslvl</x:t>
  </x:si>
  <x:si>
    <x:t xml:space="preserve">PrimaryCG</x:t>
  </x:si>
  <x:si>
    <x:t xml:space="preserve">Vintage</x:t>
  </x:si>
  <x:si>
    <x:t xml:space="preserve">*Technology Name</x:t>
  </x:si>
  <x:si>
    <x:t xml:space="preserve">Input Commodity</x:t>
  </x:si>
  <x:si>
    <x:t xml:space="preserve">Output Commodity</x:t>
  </x:si>
  <x:si>
    <x:t xml:space="preserve">Efficiency</x:t>
  </x:si>
  <x:si>
    <x:t xml:space="preserve">Utilisation Factor</x:t>
  </x:si>
  <x:si>
    <x:t xml:space="preserve">Invesctment Cost</x:t>
  </x:si>
  <x:si>
    <x:t xml:space="preserve">Fixed O&amp;M Cost</x:t>
  </x:si>
  <x:si>
    <x:t xml:space="preserve">Variable O&amp;M Cost</x:t>
  </x:si>
  <x:si>
    <x:t xml:space="preserve">Lifetime</x:t>
  </x:si>
  <x:si>
    <x:t xml:space="preserve">Capacity to Activity Factor</x:t>
  </x:si>
  <x:si>
    <x:t xml:space="preserve">% contribution to PEAK</x:t>
  </x:si>
  <x:si>
    <x:t xml:space="preserve">*Process Set Membership</x:t>
  </x:si>
  <x:si>
    <x:t xml:space="preserve">Technology Name</x:t>
  </x:si>
  <x:si>
    <x:t xml:space="preserve">Technology Description</x:t>
  </x:si>
  <x:si>
    <x:t xml:space="preserve">Capacity Unit</x:t>
  </x:si>
  <x:si>
    <x:t xml:space="preserve">TimeSlice level of Process Activity</x:t>
  </x:si>
  <x:si>
    <x:t xml:space="preserve">Primary Commodity Group</x:t>
  </x:si>
  <x:si>
    <x:t xml:space="preserve">Vintage Tracking</x:t>
  </x:si>
  <x:si>
    <x:t xml:space="preserve">*Units</x:t>
  </x:si>
  <x:si>
    <x:t xml:space="preserve">M$/GW</x:t>
  </x:si>
  <x:si>
    <x:t xml:space="preserve">M$/PJa</x:t>
  </x:si>
  <x:si>
    <x:t xml:space="preserve">M$/PJ</x:t>
  </x:si>
  <x:si>
    <x:t xml:space="preserve">Years</x:t>
  </x:si>
  <x:si>
    <x:t xml:space="preserve">(Act Unit/Cap Unit)</x:t>
  </x:si>
  <x:si>
    <x:t xml:space="preserve">*</x:t>
  </x:si>
  <x:si>
    <x:t xml:space="preserve">ELCCOA</x:t>
  </x:si>
  <x:si>
    <x:t xml:space="preserve">ELE</x:t>
  </x:si>
  <x:si>
    <x:t xml:space="preserve">ELCTNCOA01</x:t>
  </x:si>
  <x:si>
    <x:t xml:space="preserve">Power Plants New 1 - Solid Fuels</x:t>
  </x:si>
  <x:si>
    <x:t xml:space="preserve">DAYNITE</x:t>
  </x:si>
  <x:si>
    <x:t xml:space="preserve">ELCTNOIL01</x:t>
  </x:si>
  <x:si>
    <x:t xml:space="preserve">Power Plants New 1 - Oil</x:t>
  </x:si>
  <x:si>
    <x:t xml:space="preserve">ELCTNGAS01</x:t>
  </x:si>
  <x:si>
    <x:t xml:space="preserve">Power Plants New 1 - Natural Gas</x:t>
  </x:si>
  <x:si>
    <x:t xml:space="preserve">Yes</x:t>
  </x:si>
  <x:si>
    <x:t xml:space="preserve">ELCRNBIO01</x:t>
  </x:si>
  <x:si>
    <x:t xml:space="preserve">Power Plants New 1 - Biomass</x:t>
  </x:si>
  <x:si>
    <x:t xml:space="preserve">ELCRNHYD01</x:t>
  </x:si>
  <x:si>
    <x:t xml:space="preserve">Power Plants New 1 - Hydro power</x:t>
  </x:si>
  <x:si>
    <x:t xml:space="preserve">ELCOIL</x:t>
  </x:si>
  <x:si>
    <x:t xml:space="preserve">ELCRNWIN01</x:t>
  </x:si>
  <x:si>
    <x:t xml:space="preserve">Power Plants New 1 - Wind energy</x:t>
  </x:si>
  <x:si>
    <x:t xml:space="preserve">ELCRNSOL01</x:t>
  </x:si>
  <x:si>
    <x:t xml:space="preserve">Power Plants New 1 - Solar energy</x:t>
  </x:si>
  <x:si>
    <x:t xml:space="preserve">STG</x:t>
  </x:si>
  <x:si>
    <x:t xml:space="preserve">ELCSNBES01</x:t>
  </x:si>
  <x:si>
    <x:t xml:space="preserve">Power Plants New 1 - Battery Energy Storage System</x:t>
  </x:si>
  <x:si>
    <x:t xml:space="preserve">ELCRNBSO01</x:t>
  </x:si>
  <x:si>
    <x:t xml:space="preserve">Power Plants New 1 - Solar energy with BESS</x:t>
  </x:si>
  <x:si>
    <x:t xml:space="preserve">ELCRNPHY01</x:t>
  </x:si>
  <x:si>
    <x:t xml:space="preserve">Power Plants New 1 - Pumped Hydro power</x:t>
  </x:si>
  <x:si>
    <x:t xml:space="preserve">ELCGAS</x:t>
  </x:si>
  <x:si>
    <x:t xml:space="preserve">ELCBIO</x:t>
  </x:si>
  <x:si>
    <x:t xml:space="preserve">ELCHYD</x:t>
  </x:si>
  <x:si>
    <x:t xml:space="preserve">ELCWIN</x:t>
  </x:si>
  <x:si>
    <x:t xml:space="preserve">ELCSOL</x:t>
  </x:si>
  <x:si>
    <x:t xml:space="preserve">IND</x:t>
  </x:si>
  <x:si>
    <x:t xml:space="preserve">Transport</x:t>
  </x:si>
  <x:si>
    <x:t xml:space="preserve">Pja</x:t>
  </x:si>
  <x:si>
    <x:t xml:space="preserve">NRG</x:t>
  </x:si>
  <x:si>
    <x:t xml:space="preserve">FX</x:t>
  </x:si>
  <x:si>
    <x:t xml:space="preserve">ENV</x:t>
  </x:si>
  <x:si>
    <x:t xml:space="preserve">ELCCO2</x:t>
  </x:si>
  <x:si>
    <x:t xml:space="preserve">kt</x:t>
  </x:si>
  <x:si>
    <x:t xml:space="preserve">ANNUAL</x:t>
  </x:si>
  <x:si>
    <x:t xml:space="preserve">Capacity Unit/PJ</x:t>
  </x:si>
  <x:si>
    <x:t xml:space="preserve">M$/Capacity Unit</x:t>
  </x:si>
  <x:si>
    <x:t xml:space="preserve">M$/Capacity unit</x:t>
  </x:si>
  <x:si>
    <x:t xml:space="preserve">INDCOA</x:t>
  </x:si>
  <x:si>
    <x:t xml:space="preserve">DIBOIL</x:t>
  </x:si>
  <x:si>
    <x:t xml:space="preserve">DMD</x:t>
  </x:si>
  <x:si>
    <x:t xml:space="preserve">IBOILNCOA</x:t>
  </x:si>
  <x:si>
    <x:t xml:space="preserve">Demand Technologies Industry Sector - New Boiler - Solid Fuels</x:t>
  </x:si>
  <x:si>
    <x:t xml:space="preserve">PJa</x:t>
  </x:si>
  <x:si>
    <x:t xml:space="preserve">INDBIO</x:t>
  </x:si>
  <x:si>
    <x:t xml:space="preserve">IBOILNBIO</x:t>
  </x:si>
  <x:si>
    <x:t xml:space="preserve">Demand Technologies Industry Sector - New Boiler - Biomass</x:t>
  </x:si>
  <x:si>
    <x:t xml:space="preserve">INDELC</x:t>
  </x:si>
  <x:si>
    <x:t xml:space="preserve">IBOILNELC</x:t>
  </x:si>
  <x:si>
    <x:t xml:space="preserve">Demand Technologies Industry Sector - New Boiler - Electricity</x:t>
  </x:si>
  <x:si>
    <x:t xml:space="preserve">IENGNNDSL</x:t>
  </x:si>
  <x:si>
    <x:t xml:space="preserve">INDOIL</x:t>
  </x:si>
  <x:si>
    <x:t xml:space="preserve">DIENGN</x:t>
  </x:si>
  <x:si>
    <x:t xml:space="preserve">Demand Technologies Industry Sector - New Engine - Diesel</x:t>
  </x:si>
  <x:si>
    <x:t xml:space="preserve">DICOMP</x:t>
  </x:si>
  <x:si>
    <x:t xml:space="preserve">ICOMPNELC</x:t>
  </x:si>
  <x:si>
    <x:t xml:space="preserve">Demand Technologies Industry Sector - New Compressor - Electricity</x:t>
  </x:si>
  <x:si>
    <x:t xml:space="preserve">DIPUMP</x:t>
  </x:si>
  <x:si>
    <x:t xml:space="preserve">IPUMPNELC</x:t>
  </x:si>
  <x:si>
    <x:t xml:space="preserve">Demand Technologies Industry Sector - New Pump - Electricity</x:t>
  </x:si>
  <x:si>
    <x:t xml:space="preserve">DIMOTO</x:t>
  </x:si>
  <x:si>
    <x:t xml:space="preserve">IMOTONELC</x:t>
  </x:si>
  <x:si>
    <x:t xml:space="preserve">Demand Technologies Industry Sector - New Heavy Motor - Electricity</x:t>
  </x:si>
  <x:si>
    <x:t xml:space="preserve">IOAPPNELC</x:t>
  </x:si>
  <x:si>
    <x:t xml:space="preserve">DIOAPP</x:t>
  </x:si>
  <x:si>
    <x:t xml:space="preserve">Demand Technologies Industry Sector - New Other Appliance - Electricity</x:t>
  </x:si>
  <x:si>
    <x:t xml:space="preserve">IOAPPNDSL</x:t>
  </x:si>
  <x:si>
    <x:t xml:space="preserve">Demand Technologies Industry Sector - New Other Appliance - Diesel</x:t>
  </x:si>
  <x:si>
    <x:t xml:space="preserve">Commodity</x:t>
  </x:si>
  <x:si>
    <x:t xml:space="preserve">Default Unit</x:t>
  </x:si>
  <x:si>
    <x:t xml:space="preserve">CUM</x:t>
  </x:si>
  <x:si>
    <x:t xml:space="preserve">COST</x:t>
  </x:si>
  <x:si>
    <x:t xml:space="preserve">ACT_BND</x:t>
  </x:si>
  <x:si>
    <x:t xml:space="preserve">Reserves Cumulative Value</x:t>
  </x:si>
  <x:si>
    <x:t xml:space="preserve">Cost</x:t>
  </x:si>
  <x:si>
    <x:t xml:space="preserve">Annual Production Bound</x:t>
  </x:si>
  <x:si>
    <x:t xml:space="preserve">M$2021/PJ</x:t>
  </x:si>
  <x:si>
    <x:t xml:space="preserve">IMPDSL1</x:t>
  </x:si>
  <x:si>
    <x:t xml:space="preserve">DSL</x:t>
  </x:si>
  <x:si>
    <x:t xml:space="preserve">IMPKER1</x:t>
  </x:si>
  <x:si>
    <x:t xml:space="preserve">KER</x:t>
  </x:si>
  <x:si>
    <x:t xml:space="preserve">IMPLPG1</x:t>
  </x:si>
  <x:si>
    <x:t xml:space="preserve">LPG</x:t>
  </x:si>
  <x:si>
    <x:t xml:space="preserve">IMPGSL1</x:t>
  </x:si>
  <x:si>
    <x:t xml:space="preserve">GSL</x:t>
  </x:si>
  <x:si>
    <x:t xml:space="preserve">IMPNAP1</x:t>
  </x:si>
  <x:si>
    <x:t xml:space="preserve">NAP</x:t>
  </x:si>
  <x:si>
    <x:t xml:space="preserve">IMPHFO1</x:t>
  </x:si>
  <x:si>
    <x:t xml:space="preserve">HFO</x:t>
  </x:si>
  <x:si>
    <x:t xml:space="preserve">IMPOPP1</x:t>
  </x:si>
  <x:si>
    <x:t xml:space="preserve">OPP</x:t>
  </x:si>
  <x:si>
    <x:t xml:space="preserve">IMPELCVN1</x:t>
  </x:si>
  <x:si>
    <x:t xml:space="preserve">IMPELCLAO1</x:t>
  </x:si>
  <x:si>
    <x:t xml:space="preserve">IMPELCLAO2</x:t>
  </x:si>
  <x:si>
    <x:t xml:space="preserve">IMPELCLAO3</x:t>
  </x:si>
  <x:si>
    <x:t xml:space="preserve">MW</x:t>
  </x:si>
  <x:si>
    <x:t xml:space="preserve">MWh</x:t>
  </x:si>
  <x:si>
    <x:t xml:space="preserve">CF</x:t>
  </x:si>
  <x:si>
    <x:t xml:space="preserve">cost</x:t>
  </x:si>
  <x:si>
    <x:t xml:space="preserve">tc</x:t>
  </x:si>
  <x:si>
    <x:t xml:space="preserve">cost/PJ</x:t>
  </x:si>
  <x:si>
    <x:t xml:space="preserve">AGR</x:t>
  </x:si>
  <x:si>
    <x:t xml:space="preserve">Agriculture</x:t>
  </x:si>
  <x:si>
    <x:t xml:space="preserve">Demand Technologies</x:t>
  </x:si>
  <x:si>
    <x:t xml:space="preserve">COM</x:t>
  </x:si>
  <x:si>
    <x:t xml:space="preserve">Commercial</x:t>
  </x:si>
  <x:si>
    <x:t xml:space="preserve">RSD</x:t>
  </x:si>
  <x:si>
    <x:t xml:space="preserve">Residential</x:t>
  </x:si>
  <x:si>
    <x:t xml:space="preserve">COMSOL</x:t>
  </x:si>
  <x:si>
    <x:t xml:space="preserve">DCSC</x:t>
  </x:si>
  <x:si>
    <x:t xml:space="preserve">CSCNSOL1</x:t>
  </x:si>
  <x:si>
    <x:t xml:space="preserve">Demand Technologies Commercial Sector - New Space Cooling - Solar energy</x:t>
  </x:si>
  <x:si>
    <x:t xml:space="preserve">COMELC</x:t>
  </x:si>
  <x:si>
    <x:t xml:space="preserve">CSCNELC1</x:t>
  </x:si>
  <x:si>
    <x:t xml:space="preserve">Demand Technologies Commercial Sector - New Space Cooling - Natural Gas</x:t>
  </x:si>
  <x:si>
    <x:t xml:space="preserve">DCAP</x:t>
  </x:si>
  <x:si>
    <x:t xml:space="preserve">CAPNELC1</x:t>
  </x:si>
  <x:si>
    <x:t xml:space="preserve">Demand Technologies Commercial Sector - New Appliances - Electricity</x:t>
  </x:si>
  <x:si>
    <x:t xml:space="preserve">COMOIL</x:t>
  </x:si>
  <x:si>
    <x:t xml:space="preserve">DCOT</x:t>
  </x:si>
  <x:si>
    <x:t xml:space="preserve">COTNOIL1</x:t>
  </x:si>
  <x:si>
    <x:t xml:space="preserve">Demand Technologies Commercial Sector - New Other - oil</x:t>
  </x:si>
  <x:si>
    <x:t xml:space="preserve">COTNELC1</x:t>
  </x:si>
  <x:si>
    <x:t xml:space="preserve">Demand Technologies Commercial Sector - New Other - Electricity</x:t>
  </x:si>
  <x:si>
    <x:t xml:space="preserve">RSDSOL</x:t>
  </x:si>
  <x:si>
    <x:t xml:space="preserve">DRSC</x:t>
  </x:si>
  <x:si>
    <x:t xml:space="preserve">RSCNSOL1</x:t>
  </x:si>
  <x:si>
    <x:t xml:space="preserve">Demand Technologies Residential Sector - New Space Cooling - Solar energy</x:t>
  </x:si>
  <x:si>
    <x:t xml:space="preserve">RSDELC</x:t>
  </x:si>
  <x:si>
    <x:t xml:space="preserve">RSCNELC1</x:t>
  </x:si>
  <x:si>
    <x:t xml:space="preserve">Demand Technologies Residential Sector - New Space Cooling - Natural Gas</x:t>
  </x:si>
  <x:si>
    <x:t xml:space="preserve">DRAP</x:t>
  </x:si>
  <x:si>
    <x:t xml:space="preserve">RAPNELC1</x:t>
  </x:si>
  <x:si>
    <x:t xml:space="preserve">Demand Technologies Residential Sector - New Appliancens - Electricity</x:t>
  </x:si>
  <x:si>
    <x:t xml:space="preserve">RSDOIL</x:t>
  </x:si>
  <x:si>
    <x:t xml:space="preserve">DROT</x:t>
  </x:si>
  <x:si>
    <x:t xml:space="preserve">ROTNOIL1</x:t>
  </x:si>
  <x:si>
    <x:t xml:space="preserve">Demand Technologies Residential Sector - New Other - oil</x:t>
  </x:si>
  <x:si>
    <x:t xml:space="preserve">RSDBIO</x:t>
  </x:si>
  <x:si>
    <x:t xml:space="preserve">ROTNBIO1</x:t>
  </x:si>
  <x:si>
    <x:t xml:space="preserve">Demand Technologies Residential Sector - New Other - Biomass</x:t>
  </x:si>
  <x:si>
    <x:t xml:space="preserve">ROTNELC1</x:t>
  </x:si>
  <x:si>
    <x:t xml:space="preserve">Demand Technologies Residential Sector - New Other - Electricity</x:t>
  </x:si>
  <x:si>
    <x:t xml:space="preserve">AOTHNDSL</x:t>
  </x:si>
  <x:si>
    <x:t xml:space="preserve">AGROIL</x:t>
  </x:si>
  <x:si>
    <x:t xml:space="preserve">DAOTH</x:t>
  </x:si>
  <x:si>
    <x:t xml:space="preserve">Demand Technologies Agriculture Sector - New Other - Diesel</x:t>
  </x:si>
  <x:si>
    <x:t xml:space="preserve">AOTHNDELC</x:t>
  </x:si>
  <x:si>
    <x:t xml:space="preserve">AGRELC</x:t>
  </x:si>
  <x:si>
    <x:t xml:space="preserve">Demand Technologies Agriculture Sector - New Other - Electricity</x:t>
  </x:si>
  <x:si>
    <x:t xml:space="preserve">Capacity</x:t>
  </x:si>
  <x:si>
    <x:t xml:space="preserve">TRA</x:t>
  </x:si>
  <x:si>
    <x:t xml:space="preserve">M$</x:t>
  </x:si>
  <x:si>
    <x:t xml:space="preserve">000_Units</x:t>
  </x:si>
  <x:si>
    <x:t xml:space="preserve">ACTFLO~DEMO</x:t>
  </x:si>
  <x:si>
    <x:t xml:space="preserve">Activity to Flo</x:t>
  </x:si>
  <x:si>
    <x:t xml:space="preserve">Investment Cost</x:t>
  </x:si>
  <x:si>
    <x:t xml:space="preserve">BV*km/PJ</x:t>
  </x:si>
  <x:si>
    <x:t xml:space="preserve">'000 km</x:t>
  </x:si>
  <x:si>
    <x:t xml:space="preserve">Passenger/Car</x:t>
  </x:si>
  <x:si>
    <x:t xml:space="preserve">M$/000_Units</x:t>
  </x:si>
  <x:si>
    <x:t xml:space="preserve">M$/000_Units/a</x:t>
  </x:si>
  <x:si>
    <x:t xml:space="preserve">bvkm/mvkm</x:t>
  </x:si>
  <x:si>
    <x:t xml:space="preserve">TRADSL</x:t>
  </x:si>
  <x:si>
    <x:t xml:space="preserve">DTCAR</x:t>
  </x:si>
  <x:si>
    <x:t xml:space="preserve">TCANDSL1</x:t>
  </x:si>
  <x:si>
    <x:t xml:space="preserve">Demand Technologies Transport Sector - New Cars - Diesel oil</x:t>
  </x:si>
  <x:si>
    <x:t xml:space="preserve">BPkm</x:t>
  </x:si>
  <x:si>
    <x:t xml:space="preserve">DEMO</x:t>
  </x:si>
  <x:si>
    <x:t xml:space="preserve">TRALPG</x:t>
  </x:si>
  <x:si>
    <x:t xml:space="preserve">TCANLPG1</x:t>
  </x:si>
  <x:si>
    <x:t xml:space="preserve">Demand Technologies Transport Sector - New Cars - LPG</x:t>
  </x:si>
  <x:si>
    <x:t xml:space="preserve">TRAGSL</x:t>
  </x:si>
  <x:si>
    <x:t xml:space="preserve">TCANGSL1</x:t>
  </x:si>
  <x:si>
    <x:t xml:space="preserve">Demand Technologies Transport Sector - New Cars - Motor spirit</x:t>
  </x:si>
  <x:si>
    <x:t xml:space="preserve">TRAELC</x:t>
  </x:si>
  <x:si>
    <x:t xml:space="preserve">TCANELC1</x:t>
  </x:si>
  <x:si>
    <x:t xml:space="preserve">Demand Technologies Transport Sector - New Cars - Electricity</x:t>
  </x:si>
  <x:si>
    <x:t xml:space="preserve">DTPUB</x:t>
  </x:si>
  <x:si>
    <x:t xml:space="preserve">TPUNDSL1</x:t>
  </x:si>
  <x:si>
    <x:t xml:space="preserve">Demand Technologies Transport Sector - New Pub - Diesel oil</x:t>
  </x:si>
  <x:si>
    <x:t xml:space="preserve">TPUNLPG1</x:t>
  </x:si>
  <x:si>
    <x:t xml:space="preserve">Demand Technologies Transport Sector - New Pub - LPG</x:t>
  </x:si>
  <x:si>
    <x:t xml:space="preserve">TPUNGSL1</x:t>
  </x:si>
  <x:si>
    <x:t xml:space="preserve">Demand Technologies Transport Sector - New Pub - Motor spirit</x:t>
  </x:si>
  <x:si>
    <x:t xml:space="preserve">TPUNELC1</x:t>
  </x:si>
  <x:si>
    <x:t xml:space="preserve">Demand Technologies Transport Sector - New Pub - Electricity</x:t>
  </x:si>
  <x:si>
    <x:t xml:space="preserve">DTMOT</x:t>
  </x:si>
  <x:si>
    <x:t xml:space="preserve">TMOTNGSL1</x:t>
  </x:si>
  <x:si>
    <x:t xml:space="preserve">Demand Technologies Transport Sector - New Motor - Motor spirit</x:t>
  </x:si>
  <x:si>
    <x:t xml:space="preserve">TMOTNELC1</x:t>
  </x:si>
  <x:si>
    <x:t xml:space="preserve">Demand Technologies Transport Sector - New Motor - Electricity</x:t>
  </x:si>
  <x:si>
    <x:t xml:space="preserve">DTTRI</x:t>
  </x:si>
  <x:si>
    <x:t xml:space="preserve">TTRINLPG1</x:t>
  </x:si>
  <x:si>
    <x:t xml:space="preserve">Demand Technologies Transport Sector - New Motor - LPG</x:t>
  </x:si>
  <x:si>
    <x:t xml:space="preserve">TTRINGSL1</x:t>
  </x:si>
  <x:si>
    <x:t xml:space="preserve">TTRINELC1</x:t>
  </x:si>
  <x:si>
    <x:t xml:space="preserve">DTFRE</x:t>
  </x:si>
  <x:si>
    <x:t xml:space="preserve">TFRENDSL1</x:t>
  </x:si>
  <x:si>
    <x:t xml:space="preserve">Demand Technologies Transport Sector - New Motor - Diesel oil</x:t>
  </x:si>
  <x:si>
    <x:t xml:space="preserve">TFRENLPG1</x:t>
  </x:si>
  <x:si>
    <x:t xml:space="preserve">TFRENELC1</x:t>
  </x:si>
  <x:si>
    <x:t xml:space="preserve">TRAKER</x:t>
  </x:si>
  <x:si>
    <x:t xml:space="preserve">DTAVI</x:t>
  </x:si>
  <x:si>
    <x:t xml:space="preserve">TAVINKER1</x:t>
  </x:si>
  <x:si>
    <x:t xml:space="preserve">Demand Technologies Transport Sector - New Motor - Kerosenes</x:t>
  </x:si>
  <x:si>
    <x:t xml:space="preserve">DTRAI</x:t>
  </x:si>
  <x:si>
    <x:t xml:space="preserve">TRAINHFO1</x:t>
  </x:si>
  <x:si>
    <x:t xml:space="preserve">TRAINELC1</x:t>
  </x:si>
  <x:si>
    <x:t xml:space="preserve">DTMAR</x:t>
  </x:si>
  <x:si>
    <x:t xml:space="preserve">TMARNDSL1</x:t>
  </x:si>
  <x:si>
    <x:t xml:space="preserve">TMARNLPG1</x:t>
  </x:si>
  <x:si>
    <x:t xml:space="preserve">TMARNELC1</x:t>
  </x:si>
  <x:si>
    <x:t xml:space="preserve">http://www.iea-etsap.org/Energy_Technologies/Energy_Technology.asp</x:t>
  </x:si>
  <x:si>
    <x:t xml:space="preserve">http://www.iea-etsap.org/Energy_Technologies/Energy_Supply.asp</x:t>
  </x:si>
  <x:si>
    <x:t xml:space="preserve">http://www.iea-etsap.org/Energy_Technologies/Energy_Demand.asp</x:t>
  </x:si>
</x:sst>
</file>

<file path=xl/styles.xml><?xml version="1.0" encoding="utf-8"?>
<x:styleSheet xmlns:x="http://schemas.openxmlformats.org/spreadsheetml/2006/main">
  <x:numFmts count="6">
    <x:numFmt numFmtId="43" formatCode="_(* #,##0.00_);_(* \(#,##0.00\);_(* &quot;-&quot;??_);_(@_)"/>
    <x:numFmt numFmtId="164" formatCode="_-* #,##0.00_-;\-* #,##0.00_-;_-* &quot;-&quot;??_-;_-@_-"/>
    <x:numFmt numFmtId="165" formatCode="0.000"/>
    <x:numFmt numFmtId="166" formatCode="0.0"/>
    <x:numFmt numFmtId="167" formatCode="\Te\x\t"/>
    <x:numFmt numFmtId="200" formatCode="0.0000"/>
  </x:numFmts>
  <x:fonts count="34">
    <x:font>
      <x:sz val="10"/>
      <x:name val="Arial"/>
    </x:font>
    <x:font>
      <x:sz val="10"/>
      <x:color indexed="12"/>
      <x:name val="Arial"/>
    </x:font>
    <x:font>
      <x:sz val="10"/>
      <x:name val="Courier"/>
    </x:font>
    <x:font>
      <x:b/>
      <x:sz val="10"/>
      <x:color indexed="12"/>
      <x:name val="Arial"/>
    </x:font>
    <x:font>
      <x:sz val="10"/>
      <x:name val="Arial"/>
    </x:font>
    <x:font>
      <x:b/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8"/>
      <x:color indexed="81"/>
      <x:name val="Tahoma"/>
    </x:font>
    <x:font>
      <x:b/>
      <x:sz val="8"/>
      <x:color indexed="81"/>
      <x:name val="Tahoma"/>
    </x:font>
    <x:font>
      <x:sz val="10"/>
      <x:name val="Arial"/>
    </x:font>
    <x:font>
      <x:sz val="9"/>
      <x:color indexed="81"/>
      <x:name val="Tahoma"/>
    </x:font>
    <x:font>
      <x:b/>
      <x:sz val="9"/>
      <x:color indexed="81"/>
      <x:name val="Tahoma"/>
    </x:font>
    <x:font>
      <x:sz val="10"/>
      <x:name val="Arial"/>
    </x:font>
    <x:font>
      <x:sz val="11"/>
      <x:color indexed="8"/>
      <x:name val="Calibri"/>
    </x:font>
    <x:font>
      <x:sz val="11"/>
      <x:color theme="1"/>
      <x:name val="Calibri"/>
    </x:font>
    <x:font>
      <x:sz val="11"/>
      <x:color theme="0"/>
      <x:name val="Calibri"/>
    </x:font>
    <x:font>
      <x:b/>
      <x:sz val="11"/>
      <x:color theme="5" tint="-0.24995"/>
      <x:name val="Calibri"/>
    </x:font>
    <x:font>
      <x:b/>
      <x:sz val="11"/>
      <x:color rgb="FFFA7D00"/>
      <x:name val="Calibri"/>
    </x:font>
    <x:font>
      <x:sz val="11"/>
      <x:color rgb="FF006100"/>
      <x:name val="Calibri"/>
    </x:font>
    <x:font>
      <x:sz val="11"/>
      <x:color theme="10"/>
      <x:name val="Calibri"/>
    </x:font>
    <x:font>
      <x:sz val="11"/>
      <x:color rgb="FF9C6500"/>
      <x:name val="Calibri"/>
    </x:font>
    <x:font>
      <x:b/>
      <x:sz val="18"/>
      <x:color theme="3"/>
      <x:name val="Arial"/>
    </x:font>
    <x:font>
      <x:b/>
      <x:sz val="12"/>
      <x:color rgb="FFFF0000"/>
      <x:name val="Calibri"/>
    </x:font>
    <x:font>
      <x:sz val="8"/>
      <x:color theme="1"/>
      <x:name val="Arial"/>
    </x:font>
    <x:font>
      <x:sz val="10"/>
      <x:color rgb="FFFF0000"/>
      <x:name val="Arial"/>
    </x:font>
    <x:font>
      <x:b/>
      <x:sz val="12"/>
      <x:name val="Calibri"/>
    </x:font>
    <x:font>
      <x:b/>
      <x:sz val="11"/>
      <x:name val="Calibri"/>
    </x:font>
    <x:font>
      <x:sz val="8"/>
      <x:name val="Arial"/>
    </x:font>
    <x:font>
      <x:sz val="11"/>
      <x:color theme="1"/>
      <x:name val="Calibri"/>
    </x:font>
    <x:font>
      <x:sz val="8.25"/>
      <x:color rgb="FF000000"/>
      <x:name val="Microsoft Sans Serif"/>
    </x:font>
    <x:font>
      <x:sz val="10"/>
      <x:name val="Arial"/>
    </x:font>
    <x:font>
      <x:b/>
      <x:sz val="10"/>
      <x:color rgb="FFFFFFFF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theme="8" tint="0.79998"/>
      </x:patternFill>
    </x:fill>
    <x:fill>
      <x:patternFill patternType="solid">
        <x:fgColor theme="5"/>
      </x:patternFill>
    </x:fill>
    <x:fill>
      <x:patternFill patternType="solid">
        <x:fgColor rgb="FFC6EFCE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  <x:fill>
      <x:patternFill patternType="solid">
        <x:fgColor theme="9" tint="0.79998"/>
      </x:patternFill>
    </x:fill>
    <x:fill>
      <x:patternFill patternType="solid">
        <x:fgColor theme="0"/>
      </x:patternFill>
    </x:fill>
    <x:fill>
      <x:patternFill patternType="solid">
        <x:fgColor rgb="FFEAF1FB"/>
      </x:patternFill>
    </x:fill>
    <x:fill>
      <x:patternFill patternType="solid">
        <x:fgColor theme="6" tint="0.79998"/>
      </x:patternFill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22">
    <x:border/>
    <x:border>
      <x:top style="thin">
        <x:color indexed="64"/>
      </x:top>
    </x:border>
    <x:border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bottom style="medium">
        <x:color indexed="64"/>
      </x:bottom>
    </x:border>
    <x:border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left style="thin">
        <x:color rgb="FFFF0000"/>
      </x:left>
      <x:right style="thin">
        <x:color rgb="FFFF0000"/>
      </x:right>
      <x:top style="thin">
        <x:color rgb="FFFF0000"/>
      </x:top>
    </x:border>
    <x:border>
      <x:left style="thin">
        <x:color rgb="FFFF0000"/>
      </x:left>
      <x:right style="thin">
        <x:color rgb="FFFF0000"/>
      </x:right>
      <x:bottom style="thin">
        <x:color rgb="FFFF0000"/>
      </x:bottom>
    </x:border>
    <x:border>
      <x:left style="thin">
        <x:color rgb="FF696969"/>
      </x:left>
      <x:right style="thin">
        <x:color rgb="FF696969"/>
      </x:right>
      <x:top style="thin">
        <x:color rgb="FF696969"/>
      </x:top>
      <x:bottom style="thin">
        <x:color rgb="FF696969"/>
      </x:bottom>
    </x:border>
    <x:border/>
    <x:border>
      <x:top style="thin">
        <x:color indexed="64"/>
      </x:top>
    </x:border>
    <x:border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bottom style="medium">
        <x:color indexed="64"/>
      </x:bottom>
    </x:border>
    <x:border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left style="thin">
        <x:color rgb="FFFF0000"/>
      </x:left>
      <x:right style="thin">
        <x:color rgb="FFFF0000"/>
      </x:right>
      <x:top style="thin">
        <x:color rgb="FFFF0000"/>
      </x:top>
    </x:border>
    <x:border>
      <x:left style="thin">
        <x:color rgb="FFFF0000"/>
      </x:left>
      <x:right style="thin">
        <x:color rgb="FFFF0000"/>
      </x:right>
      <x:bottom style="thin">
        <x:color rgb="FFFF0000"/>
      </x:bottom>
    </x:border>
    <x:border>
      <x:left style="thin">
        <x:color rgb="FF696969"/>
      </x:left>
      <x:right style="thin">
        <x:color rgb="FF696969"/>
      </x:right>
      <x:top style="thin">
        <x:color rgb="FF696969"/>
      </x:top>
      <x:bottom style="thin">
        <x:color rgb="FF696969"/>
      </x:bottom>
    </x:border>
  </x:borders>
  <x:cellStyleXfs count="60">
    <x:xf numFmtId="0" fontId="0" fillId="0" borderId="0"/>
    <x:xf numFmtId="0" fontId="16" fillId="3" borderId="0" applyNumberFormat="0" applyBorder="0" applyAlignment="0" applyProtection="0"/>
    <x:xf numFmtId="0" fontId="17" fillId="4" borderId="0" applyNumberFormat="0" applyBorder="0" applyAlignment="0" applyProtection="0"/>
    <x:xf numFmtId="1" fontId="18" fillId="0" borderId="0" applyNumberFormat="0" applyAlignment="0" applyProtection="0">
      <x:alignment horizontal="center"/>
    </x:xf>
    <x:xf numFmtId="0" fontId="19" fillId="0" borderId="7" applyNumberFormat="0" applyFill="0" applyAlignment="0" applyProtection="0"/>
    <x:xf numFmtId="164" fontId="4" fillId="0" borderId="0" applyFont="0" applyFill="0" applyBorder="0" applyAlignment="0" applyProtection="0"/>
    <x:xf numFmtId="43" fontId="16" fillId="0" borderId="0" applyFont="0" applyFill="0" applyBorder="0" applyAlignment="0" applyProtection="0"/>
    <x:xf numFmtId="164" fontId="16" fillId="0" borderId="0" applyFont="0" applyFill="0" applyBorder="0" applyAlignment="0" applyProtection="0"/>
    <x:xf numFmtId="164" fontId="16" fillId="0" borderId="0" applyFont="0" applyFill="0" applyBorder="0" applyAlignment="0" applyProtection="0"/>
    <x:xf numFmtId="164" fontId="16" fillId="0" borderId="0" applyFont="0" applyFill="0" applyBorder="0" applyAlignment="0" applyProtection="0"/>
    <x:xf numFmtId="164" fontId="16" fillId="0" borderId="0" applyFont="0" applyFill="0" applyBorder="0" applyAlignment="0" applyProtection="0"/>
    <x:xf numFmtId="43" fontId="4" fillId="0" borderId="0" applyFont="0" applyFill="0" applyBorder="0" applyAlignment="0" applyProtection="0"/>
    <x:xf numFmtId="43" fontId="4" fillId="0" borderId="0" applyFont="0" applyFill="0" applyBorder="0" applyAlignment="0" applyProtection="0"/>
    <x:xf numFmtId="0" fontId="20" fillId="5" borderId="0" applyNumberFormat="0" applyBorder="0" applyAlignment="0" applyProtection="0"/>
    <x:xf numFmtId="0" fontId="1" fillId="0" borderId="0" applyNumberFormat="0" applyFill="0" applyBorder="0" applyAlignment="0" applyProtection="0">
      <x:alignment vertical="top"/>
      <x:protection locked="0"/>
    </x:xf>
    <x:xf numFmtId="0" fontId="21" fillId="0" borderId="0" applyNumberFormat="0" applyFill="0" applyBorder="0" applyAlignment="0" applyProtection="0">
      <x:alignment vertical="top"/>
      <x:protection locked="0"/>
    </x:xf>
    <x:xf numFmtId="0" fontId="22" fillId="6" borderId="0" applyNumberFormat="0" applyBorder="0" applyAlignment="0" applyProtection="0"/>
    <x:xf numFmtId="0" fontId="4" fillId="0" borderId="0"/>
    <x:xf numFmtId="0" fontId="16" fillId="0" borderId="0"/>
    <x:xf numFmtId="0" fontId="16" fillId="0" borderId="0"/>
    <x:xf numFmtId="0" fontId="16" fillId="0" borderId="0"/>
    <x:xf numFmtId="0" fontId="16" fillId="0" borderId="0"/>
    <x:xf numFmtId="0" fontId="16" fillId="0" borderId="0"/>
    <x:xf numFmtId="0" fontId="16" fillId="0" borderId="0"/>
    <x:xf numFmtId="0" fontId="16" fillId="0" borderId="0"/>
    <x:xf numFmtId="0" fontId="16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4" fillId="0" borderId="0"/>
    <x:xf numFmtId="0" fontId="16" fillId="0" borderId="0"/>
    <x:xf numFmtId="0" fontId="4" fillId="0" borderId="0"/>
    <x:xf numFmtId="0" fontId="4" fillId="0" borderId="0"/>
    <x:xf numFmtId="0" fontId="16" fillId="0" borderId="0"/>
    <x:xf numFmtId="0" fontId="4" fillId="0" borderId="0"/>
    <x:xf numFmtId="0" fontId="2" fillId="0" borderId="0"/>
    <x:xf numFmtId="0" fontId="4" fillId="7" borderId="8" applyNumberFormat="0" applyFont="0" applyAlignment="0" applyProtection="0"/>
    <x:xf numFmtId="9" fontId="6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9" fontId="7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1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8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11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14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14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4" fillId="0" borderId="0"/>
    <x:xf numFmtId="0" fontId="30" fillId="0" borderId="0"/>
    <x:xf numFmtId="43" fontId="32" fillId="0" borderId="0" applyFont="0" applyFill="0" applyBorder="0" applyAlignment="0" applyProtection="0"/>
  </x:cellStyleXfs>
  <x:cellXfs count="161">
    <x:xf numFmtId="0" fontId="0" fillId="0" borderId="0" xfId="0"/>
    <x:xf numFmtId="0" fontId="23" fillId="0" borderId="0" xfId="0" applyFont="1"/>
    <x:xf numFmtId="0" fontId="4" fillId="0" borderId="0" xfId="0" applyFont="1"/>
    <x:xf numFmtId="0" fontId="3" fillId="0" borderId="0" xfId="0" applyFont="1"/>
    <x:xf numFmtId="0" fontId="5" fillId="2" borderId="1" xfId="0" applyFont="1" applyFill="1" applyBorder="1" applyAlignment="1">
      <x:alignment horizontal="left"/>
    </x:xf>
    <x:xf numFmtId="0" fontId="4" fillId="0" borderId="0" xfId="32" applyAlignment="1">
      <x:alignment horizontal="right"/>
    </x:xf>
    <x:xf numFmtId="0" fontId="3" fillId="0" borderId="0" xfId="32" applyFont="1" applyAlignment="1">
      <x:alignment horizontal="left"/>
    </x:xf>
    <x:xf numFmtId="0" fontId="4" fillId="0" borderId="0" xfId="32" applyAlignment="1">
      <x:alignment horizontal="left"/>
    </x:xf>
    <x:xf numFmtId="0" fontId="17" fillId="4" borderId="0" xfId="2"/>
    <x:xf numFmtId="0" fontId="24" fillId="8" borderId="0" xfId="13" applyFont="1" applyFill="1"/>
    <x:xf numFmtId="0" fontId="25" fillId="3" borderId="2" xfId="1" applyFont="1" applyBorder="1" applyAlignment="1">
      <x:alignment horizontal="left" wrapText="1"/>
    </x:xf>
    <x:xf numFmtId="0" fontId="25" fillId="3" borderId="1" xfId="1" applyFont="1" applyBorder="1" applyAlignment="1">
      <x:alignment horizontal="left" wrapText="1"/>
    </x:xf>
    <x:xf numFmtId="0" fontId="5" fillId="2" borderId="1" xfId="32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left"/>
    </x:xf>
    <x:xf numFmtId="0" fontId="24" fillId="8" borderId="0" xfId="13" applyFont="1" applyFill="1" applyAlignment="1">
      <x:alignment wrapText="1"/>
    </x:xf>
    <x:xf numFmtId="0" fontId="5" fillId="2" borderId="1" xfId="32" applyFont="1" applyFill="1" applyBorder="1" applyAlignment="1">
      <x:alignment horizontal="right" vertical="center" wrapText="1"/>
    </x:xf>
    <x:xf numFmtId="0" fontId="5" fillId="2" borderId="1" xfId="32" applyFont="1" applyFill="1" applyBorder="1" applyAlignment="1">
      <x:alignment horizontal="right" vertical="center"/>
    </x:xf>
    <x:xf numFmtId="0" fontId="25" fillId="3" borderId="1" xfId="1" applyFont="1" applyBorder="1" applyAlignment="1">
      <x:alignment horizontal="right" wrapText="1"/>
    </x:xf>
    <x:xf numFmtId="0" fontId="25" fillId="3" borderId="3" xfId="1" applyFont="1" applyBorder="1" applyAlignment="1">
      <x:alignment horizontal="right" wrapText="1"/>
    </x:xf>
    <x:xf numFmtId="0" fontId="25" fillId="3" borderId="2" xfId="1" applyFont="1" applyBorder="1" applyAlignment="1">
      <x:alignment horizontal="right" wrapText="1"/>
    </x:xf>
    <x:xf numFmtId="0" fontId="25" fillId="3" borderId="4" xfId="1" applyFont="1" applyBorder="1" applyAlignment="1">
      <x:alignment horizontal="right" wrapText="1"/>
    </x:xf>
    <x:xf numFmtId="0" fontId="0" fillId="0" borderId="0" xfId="0" applyAlignment="1">
      <x:alignment wrapText="1"/>
    </x:xf>
    <x:xf numFmtId="0" fontId="17" fillId="4" borderId="0" xfId="2" applyAlignment="1">
      <x:alignment wrapText="1"/>
    </x:xf>
    <x:xf numFmtId="0" fontId="4" fillId="0" borderId="0" xfId="17"/>
    <x:xf numFmtId="0" fontId="5" fillId="0" borderId="0" xfId="32" applyFont="1" applyAlignment="1">
      <x:alignment horizontal="right" vertical="center" wrapText="1"/>
    </x:xf>
    <x:xf numFmtId="1" fontId="4" fillId="0" borderId="0" xfId="17" applyNumberFormat="1"/>
    <x:xf numFmtId="2" fontId="4" fillId="0" borderId="0" xfId="17" applyNumberFormat="1"/>
    <x:xf numFmtId="0" fontId="27" fillId="0" borderId="0" xfId="13" applyFont="1" applyFill="1"/>
    <x:xf numFmtId="0" fontId="28" fillId="0" borderId="0" xfId="2" applyFont="1" applyFill="1" applyAlignment="1">
      <x:alignment wrapText="1"/>
    </x:xf>
    <x:xf numFmtId="1" fontId="0" fillId="0" borderId="0" xfId="0" applyNumberFormat="1"/>
    <x:xf numFmtId="2" fontId="0" fillId="0" borderId="0" xfId="0" applyNumberFormat="1"/>
    <x:xf numFmtId="0" fontId="24" fillId="0" borderId="0" xfId="13" applyFont="1" applyFill="1"/>
    <x:xf numFmtId="0" fontId="26" fillId="0" borderId="0" xfId="0" applyFont="1"/>
    <x:xf numFmtId="0" fontId="24" fillId="8" borderId="0" xfId="13" applyFont="1" applyFill="1"/>
    <x:xf numFmtId="0" fontId="17" fillId="0" borderId="0" xfId="2" applyFill="1"/>
    <x:xf numFmtId="0" fontId="5" fillId="0" borderId="0" xfId="0" applyFont="1" applyAlignment="1">
      <x:alignment horizontal="left"/>
    </x:xf>
    <x:xf numFmtId="0" fontId="25" fillId="0" borderId="0" xfId="1" applyFont="1" applyFill="1" applyBorder="1" applyAlignment="1">
      <x:alignment horizontal="right" wrapText="1"/>
    </x:xf>
    <x:xf numFmtId="0" fontId="25" fillId="3" borderId="4" xfId="1" applyFont="1" applyBorder="1" applyAlignment="1">
      <x:alignment horizontal="right" wrapText="1"/>
    </x:xf>
    <x:xf numFmtId="165" fontId="0" fillId="0" borderId="0" xfId="0" applyNumberFormat="1"/>
    <x:xf numFmtId="166" fontId="0" fillId="0" borderId="0" xfId="0" applyNumberFormat="1"/>
    <x:xf numFmtId="0" fontId="25" fillId="3" borderId="2" xfId="1" applyFont="1" applyBorder="1" applyAlignment="1">
      <x:alignment horizontal="center" wrapText="1"/>
    </x:xf>
    <x:xf numFmtId="0" fontId="5" fillId="2" borderId="1" xfId="0" applyFont="1" applyFill="1" applyBorder="1" applyAlignment="1">
      <x:alignment horizontal="center" wrapText="1"/>
    </x:xf>
    <x:xf numFmtId="1" fontId="4" fillId="0" borderId="0" xfId="0" applyNumberFormat="1" applyFont="1"/>
    <x:xf numFmtId="0" fontId="4" fillId="0" borderId="0" xfId="16" applyFont="1" applyFill="1"/>
    <x:xf numFmtId="0" fontId="5" fillId="2" borderId="1" xfId="32" applyFont="1" applyFill="1" applyBorder="1" applyAlignment="1">
      <x:alignment horizontal="center" vertical="center" wrapText="1"/>
    </x:xf>
    <x:xf numFmtId="0" fontId="25" fillId="3" borderId="4" xfId="1" applyFont="1" applyBorder="1" applyAlignment="1">
      <x:alignment horizontal="center" wrapText="1"/>
    </x:xf>
    <x:xf numFmtId="0" fontId="0" fillId="0" borderId="5" xfId="0" applyBorder="1"/>
    <x:xf numFmtId="0" fontId="0" fillId="0" borderId="3" xfId="0" applyBorder="1"/>
    <x:xf numFmtId="2" fontId="0" fillId="0" borderId="3" xfId="0" applyNumberFormat="1" applyBorder="1"/>
    <x:xf numFmtId="2" fontId="0" fillId="0" borderId="5" xfId="0" applyNumberFormat="1" applyBorder="1"/>
    <x:xf numFmtId="166" fontId="0" fillId="0" borderId="5" xfId="0" applyNumberFormat="1" applyBorder="1"/>
    <x:xf numFmtId="1" fontId="0" fillId="0" borderId="5" xfId="0" applyNumberFormat="1" applyBorder="1"/>
    <x:xf numFmtId="0" fontId="0" fillId="0" borderId="4" xfId="0" applyBorder="1"/>
    <x:xf numFmtId="2" fontId="0" fillId="0" borderId="4" xfId="0" applyNumberFormat="1" applyBorder="1"/>
    <x:xf numFmtId="0" fontId="4" fillId="0" borderId="5" xfId="0" applyFont="1" applyBorder="1"/>
    <x:xf numFmtId="165" fontId="0" fillId="0" borderId="5" xfId="0" applyNumberFormat="1" applyBorder="1"/>
    <x:xf numFmtId="0" fontId="0" fillId="9" borderId="0" xfId="0" applyFill="1"/>
    <x:xf numFmtId="0" fontId="1" fillId="9" borderId="0" xfId="14" applyFill="1" applyAlignment="1">
      <x:alignment vertical="center"/>
    </x:xf>
    <x:xf numFmtId="167" fontId="3" fillId="0" borderId="0" xfId="0" applyNumberFormat="1" applyFont="1"/>
    <x:xf numFmtId="167" fontId="4" fillId="0" borderId="0" xfId="0" applyNumberFormat="1" applyFont="1"/>
    <x:xf numFmtId="167" fontId="5" fillId="2" borderId="1" xfId="0" applyNumberFormat="1" applyFont="1" applyFill="1" applyBorder="1" applyAlignment="1">
      <x:alignment horizontal="left"/>
    </x:xf>
    <x:xf numFmtId="167" fontId="5" fillId="2" borderId="3" xfId="0" applyNumberFormat="1" applyFont="1" applyFill="1" applyBorder="1" applyAlignment="1">
      <x:alignment horizontal="left"/>
    </x:xf>
    <x:xf numFmtId="167" fontId="25" fillId="3" borderId="2" xfId="1" applyNumberFormat="1" applyFont="1" applyBorder="1" applyAlignment="1">
      <x:alignment horizontal="left" wrapText="1"/>
    </x:xf>
    <x:xf numFmtId="167" fontId="25" fillId="3" borderId="1" xfId="1" applyNumberFormat="1" applyFont="1" applyBorder="1" applyAlignment="1">
      <x:alignment horizontal="left" wrapText="1"/>
    </x:xf>
    <x:xf numFmtId="167" fontId="0" fillId="0" borderId="0" xfId="0" applyNumberFormat="1"/>
    <x:xf numFmtId="167" fontId="25" fillId="3" borderId="2" xfId="1" applyNumberFormat="1" applyFont="1" applyBorder="1" applyAlignment="1">
      <x:alignment horizontal="center" wrapText="1"/>
    </x:xf>
    <x:xf numFmtId="167" fontId="0" fillId="0" borderId="4" xfId="0" applyNumberFormat="1" applyBorder="1"/>
    <x:xf numFmtId="167" fontId="4" fillId="0" borderId="4" xfId="0" applyNumberFormat="1" applyFont="1" applyBorder="1"/>
    <x:xf numFmtId="167" fontId="25" fillId="3" borderId="6" xfId="1" applyNumberFormat="1" applyFont="1" applyBorder="1" applyAlignment="1">
      <x:alignment horizontal="left" wrapText="1"/>
    </x:xf>
    <x:xf numFmtId="167" fontId="25" fillId="3" borderId="6" xfId="1" applyNumberFormat="1" applyFont="1" applyBorder="1" applyAlignment="1">
      <x:alignment horizontal="right" wrapText="1"/>
    </x:xf>
    <x:xf numFmtId="167" fontId="0" fillId="0" borderId="5" xfId="0" applyNumberFormat="1" applyBorder="1"/>
    <x:xf numFmtId="167" fontId="4" fillId="0" borderId="5" xfId="0" applyNumberFormat="1" applyFont="1" applyBorder="1"/>
    <x:xf numFmtId="167" fontId="0" fillId="0" borderId="9" xfId="0" applyNumberFormat="1" applyBorder="1"/>
    <x:xf numFmtId="167" fontId="0" fillId="0" borderId="10" xfId="0" applyNumberFormat="1" applyBorder="1"/>
    <x:xf numFmtId="0" fontId="25" fillId="3" borderId="0" xfId="1" applyFont="1" applyBorder="1" applyAlignment="1">
      <x:alignment horizontal="right" wrapText="1"/>
    </x:xf>
    <x:xf numFmtId="0" fontId="25" fillId="3" borderId="0" xfId="1" applyFont="1" applyBorder="1" applyAlignment="1">
      <x:alignment horizontal="center" wrapText="1"/>
    </x:xf>
    <x:xf numFmtId="165" fontId="0" fillId="0" borderId="3" xfId="0" applyNumberFormat="1" applyBorder="1"/>
    <x:xf numFmtId="165" fontId="0" fillId="0" borderId="4" xfId="0" applyNumberFormat="1" applyBorder="1"/>
    <x:xf numFmtId="49" fontId="31" fillId="10" borderId="11" xfId="58" applyNumberFormat="1" applyFont="1" applyFill="1" applyBorder="1" applyAlignment="1">
      <x:alignment horizontal="left" vertical="center"/>
    </x:xf>
    <x:xf numFmtId="43" fontId="0" fillId="0" borderId="0" xfId="59" applyFont="1"/>
    <x:xf numFmtId="43" fontId="0" fillId="0" borderId="0" xfId="0" applyNumberFormat="1"/>
    <x:xf numFmtId="2" fontId="0" fillId="11" borderId="0" xfId="0" applyNumberFormat="1" applyFill="1"/>
    <x:xf numFmtId="43" fontId="4" fillId="0" borderId="0" xfId="59" applyFont="1"/>
    <x:xf numFmtId="0" fontId="0" fillId="0" borderId="12" xfId="0" applyNumberFormat="1" applyFont="1" applyFill="1" applyBorder="1"/>
    <x:xf numFmtId="0" fontId="23" fillId="0" borderId="12" xfId="0" applyNumberFormat="1" applyFont="1" applyFill="1" applyBorder="1"/>
    <x:xf numFmtId="0" fontId="3" fillId="0" borderId="12" xfId="0" applyNumberFormat="1" applyFont="1" applyFill="1" applyBorder="1"/>
    <x:xf numFmtId="0" fontId="5" fillId="2" borderId="13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right"/>
    </x:xf>
    <x:xf numFmtId="0" fontId="3" fillId="0" borderId="12" xfId="0" applyNumberFormat="1" applyFont="1" applyFill="1" applyBorder="1" applyAlignment="1">
      <x:alignment horizontal="left"/>
    </x:xf>
    <x:xf numFmtId="0" fontId="0" fillId="0" borderId="12" xfId="0" applyNumberFormat="1" applyFont="1" applyFill="1" applyBorder="1" applyAlignment="1">
      <x:alignment horizontal="left"/>
    </x:xf>
    <x:xf numFmtId="0" fontId="17" fillId="4" borderId="12" xfId="0" applyNumberFormat="1" applyFont="1" applyFill="1" applyBorder="1"/>
    <x:xf numFmtId="0" fontId="24" fillId="8" borderId="12" xfId="0" applyNumberFormat="1" applyFont="1" applyFill="1" applyBorder="1"/>
    <x:xf numFmtId="0" fontId="25" fillId="3" borderId="14" xfId="0" applyNumberFormat="1" applyFont="1" applyFill="1" applyBorder="1" applyAlignment="1">
      <x:alignment horizontal="left" wrapText="1"/>
    </x:xf>
    <x:xf numFmtId="0" fontId="25" fillId="3" borderId="13" xfId="0" applyNumberFormat="1" applyFont="1" applyFill="1" applyBorder="1" applyAlignment="1">
      <x:alignment horizontal="left" wrapText="1"/>
    </x:xf>
    <x:xf numFmtId="0" fontId="5" fillId="2" borderId="13" xfId="0" applyNumberFormat="1" applyFont="1" applyFill="1" applyBorder="1" applyAlignment="1">
      <x:alignment horizontal="left" vertical="center"/>
    </x:xf>
    <x:xf numFmtId="0" fontId="5" fillId="2" borderId="15" xfId="0" applyNumberFormat="1" applyFont="1" applyFill="1" applyBorder="1" applyAlignment="1">
      <x:alignment horizontal="left"/>
    </x:xf>
    <x:xf numFmtId="0" fontId="24" fillId="8" borderId="12" xfId="0" applyNumberFormat="1" applyFont="1" applyFill="1" applyBorder="1" applyAlignment="1">
      <x:alignment wrapText="1"/>
    </x:xf>
    <x:xf numFmtId="0" fontId="5" fillId="2" borderId="13" xfId="0" applyNumberFormat="1" applyFont="1" applyFill="1" applyBorder="1" applyAlignment="1">
      <x:alignment horizontal="right" vertical="center" wrapText="1"/>
    </x:xf>
    <x:xf numFmtId="0" fontId="5" fillId="2" borderId="13" xfId="0" applyNumberFormat="1" applyFont="1" applyFill="1" applyBorder="1" applyAlignment="1">
      <x:alignment horizontal="right" vertical="center"/>
    </x:xf>
    <x:xf numFmtId="0" fontId="25" fillId="3" borderId="13" xfId="0" applyNumberFormat="1" applyFont="1" applyFill="1" applyBorder="1" applyAlignment="1">
      <x:alignment horizontal="right" wrapText="1"/>
    </x:xf>
    <x:xf numFmtId="0" fontId="25" fillId="3" borderId="15" xfId="0" applyNumberFormat="1" applyFont="1" applyFill="1" applyBorder="1" applyAlignment="1">
      <x:alignment horizontal="right" wrapText="1"/>
    </x:xf>
    <x:xf numFmtId="0" fontId="25" fillId="3" borderId="14" xfId="0" applyNumberFormat="1" applyFont="1" applyFill="1" applyBorder="1" applyAlignment="1">
      <x:alignment horizontal="right" wrapText="1"/>
    </x:xf>
    <x:xf numFmtId="0" fontId="25" fillId="3" borderId="16" xfId="0" applyNumberFormat="1" applyFont="1" applyFill="1" applyBorder="1" applyAlignment="1">
      <x:alignment horizontal="right" wrapText="1"/>
    </x:xf>
    <x:xf numFmtId="0" fontId="0" fillId="0" borderId="12" xfId="0" applyNumberFormat="1" applyFont="1" applyFill="1" applyBorder="1" applyAlignment="1">
      <x:alignment wrapText="1"/>
    </x:xf>
    <x:xf numFmtId="0" fontId="17" fillId="4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horizontal="right" vertical="center" wrapText="1"/>
    </x:xf>
    <x:xf numFmtId="1" fontId="0" fillId="0" borderId="12" xfId="0" applyNumberFormat="1" applyFont="1" applyFill="1" applyBorder="1"/>
    <x:xf numFmtId="2" fontId="0" fillId="0" borderId="12" xfId="0" applyNumberFormat="1" applyFont="1" applyFill="1" applyBorder="1"/>
    <x:xf numFmtId="0" fontId="27" fillId="0" borderId="12" xfId="0" applyNumberFormat="1" applyFont="1" applyFill="1" applyBorder="1"/>
    <x:xf numFmtId="0" fontId="28" fillId="0" borderId="12" xfId="0" applyNumberFormat="1" applyFont="1" applyFill="1" applyBorder="1" applyAlignment="1">
      <x:alignment wrapText="1"/>
    </x:xf>
    <x:xf numFmtId="0" fontId="24" fillId="0" borderId="12" xfId="0" applyNumberFormat="1" applyFont="1" applyFill="1" applyBorder="1"/>
    <x:xf numFmtId="0" fontId="26" fillId="0" borderId="12" xfId="0" applyNumberFormat="1" applyFont="1" applyFill="1" applyBorder="1"/>
    <x:xf numFmtId="0" fontId="17" fillId="0" borderId="12" xfId="0" applyNumberFormat="1" applyFont="1" applyFill="1" applyBorder="1"/>
    <x:xf numFmtId="0" fontId="5" fillId="0" borderId="12" xfId="0" applyNumberFormat="1" applyFont="1" applyFill="1" applyBorder="1" applyAlignment="1">
      <x:alignment horizontal="left"/>
    </x:xf>
    <x:xf numFmtId="0" fontId="25" fillId="0" borderId="12" xfId="0" applyNumberFormat="1" applyFont="1" applyFill="1" applyBorder="1" applyAlignment="1">
      <x:alignment horizontal="right" wrapText="1"/>
    </x:xf>
    <x:xf numFmtId="165" fontId="0" fillId="0" borderId="12" xfId="0" applyNumberFormat="1" applyFont="1" applyFill="1" applyBorder="1"/>
    <x:xf numFmtId="166" fontId="0" fillId="0" borderId="12" xfId="0" applyNumberFormat="1" applyFont="1" applyFill="1" applyBorder="1"/>
    <x:xf numFmtId="0" fontId="25" fillId="3" borderId="14" xfId="0" applyNumberFormat="1" applyFont="1" applyFill="1" applyBorder="1" applyAlignment="1">
      <x:alignment horizontal="center" wrapText="1"/>
    </x:xf>
    <x:xf numFmtId="0" fontId="5" fillId="2" borderId="13" xfId="0" applyNumberFormat="1" applyFont="1" applyFill="1" applyBorder="1" applyAlignment="1">
      <x:alignment horizontal="center" wrapText="1"/>
    </x:xf>
    <x:xf numFmtId="0" fontId="5" fillId="2" borderId="13" xfId="0" applyNumberFormat="1" applyFont="1" applyFill="1" applyBorder="1" applyAlignment="1">
      <x:alignment horizontal="center" vertical="center" wrapText="1"/>
    </x:xf>
    <x:xf numFmtId="0" fontId="25" fillId="3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/>
    <x:xf numFmtId="0" fontId="0" fillId="0" borderId="15" xfId="0" applyNumberFormat="1" applyFont="1" applyFill="1" applyBorder="1"/>
    <x:xf numFmtId="2" fontId="0" fillId="0" borderId="15" xfId="0" applyNumberFormat="1" applyFont="1" applyFill="1" applyBorder="1"/>
    <x:xf numFmtId="2" fontId="0" fillId="0" borderId="17" xfId="0" applyNumberFormat="1" applyFont="1" applyFill="1" applyBorder="1"/>
    <x:xf numFmtId="166" fontId="0" fillId="0" borderId="17" xfId="0" applyNumberFormat="1" applyFont="1" applyFill="1" applyBorder="1"/>
    <x:xf numFmtId="1" fontId="0" fillId="0" borderId="17" xfId="0" applyNumberFormat="1" applyFont="1" applyFill="1" applyBorder="1"/>
    <x:xf numFmtId="0" fontId="0" fillId="0" borderId="16" xfId="0" applyNumberFormat="1" applyFont="1" applyFill="1" applyBorder="1"/>
    <x:xf numFmtId="2" fontId="0" fillId="0" borderId="16" xfId="0" applyNumberFormat="1" applyFont="1" applyFill="1" applyBorder="1"/>
    <x:xf numFmtId="165" fontId="0" fillId="0" borderId="17" xfId="0" applyNumberFormat="1" applyFont="1" applyFill="1" applyBorder="1"/>
    <x:xf numFmtId="0" fontId="0" fillId="9" borderId="12" xfId="0" applyNumberFormat="1" applyFont="1" applyFill="1" applyBorder="1"/>
    <x:xf numFmtId="0" fontId="1" fillId="9" borderId="12" xfId="0" applyNumberFormat="1" applyFont="1" applyFill="1" applyBorder="1" applyAlignment="1">
      <x:alignment vertical="center"/>
    </x:xf>
    <x:xf numFmtId="167" fontId="3" fillId="0" borderId="12" xfId="0" applyNumberFormat="1" applyFont="1" applyFill="1" applyBorder="1"/>
    <x:xf numFmtId="167" fontId="0" fillId="0" borderId="12" xfId="0" applyNumberFormat="1" applyFont="1" applyFill="1" applyBorder="1"/>
    <x:xf numFmtId="167" fontId="5" fillId="2" borderId="13" xfId="0" applyNumberFormat="1" applyFont="1" applyFill="1" applyBorder="1" applyAlignment="1">
      <x:alignment horizontal="left"/>
    </x:xf>
    <x:xf numFmtId="167" fontId="5" fillId="2" borderId="15" xfId="0" applyNumberFormat="1" applyFont="1" applyFill="1" applyBorder="1" applyAlignment="1">
      <x:alignment horizontal="left"/>
    </x:xf>
    <x:xf numFmtId="167" fontId="25" fillId="3" borderId="14" xfId="0" applyNumberFormat="1" applyFont="1" applyFill="1" applyBorder="1" applyAlignment="1">
      <x:alignment horizontal="left" wrapText="1"/>
    </x:xf>
    <x:xf numFmtId="167" fontId="25" fillId="3" borderId="13" xfId="0" applyNumberFormat="1" applyFont="1" applyFill="1" applyBorder="1" applyAlignment="1">
      <x:alignment horizontal="left" wrapText="1"/>
    </x:xf>
    <x:xf numFmtId="167" fontId="25" fillId="3" borderId="14" xfId="0" applyNumberFormat="1" applyFont="1" applyFill="1" applyBorder="1" applyAlignment="1">
      <x:alignment horizontal="center" wrapText="1"/>
    </x:xf>
    <x:xf numFmtId="167" fontId="0" fillId="0" borderId="16" xfId="0" applyNumberFormat="1" applyFont="1" applyFill="1" applyBorder="1"/>
    <x:xf numFmtId="167" fontId="25" fillId="3" borderId="18" xfId="0" applyNumberFormat="1" applyFont="1" applyFill="1" applyBorder="1" applyAlignment="1">
      <x:alignment horizontal="left" wrapText="1"/>
    </x:xf>
    <x:xf numFmtId="167" fontId="25" fillId="3" borderId="18" xfId="0" applyNumberFormat="1" applyFont="1" applyFill="1" applyBorder="1" applyAlignment="1">
      <x:alignment horizontal="right" wrapText="1"/>
    </x:xf>
    <x:xf numFmtId="167" fontId="0" fillId="0" borderId="17" xfId="0" applyNumberFormat="1" applyFont="1" applyFill="1" applyBorder="1"/>
    <x:xf numFmtId="167" fontId="0" fillId="0" borderId="19" xfId="0" applyNumberFormat="1" applyFont="1" applyFill="1" applyBorder="1"/>
    <x:xf numFmtId="167" fontId="0" fillId="0" borderId="20" xfId="0" applyNumberFormat="1" applyFont="1" applyFill="1" applyBorder="1"/>
    <x:xf numFmtId="0" fontId="25" fillId="3" borderId="12" xfId="0" applyNumberFormat="1" applyFont="1" applyFill="1" applyBorder="1" applyAlignment="1">
      <x:alignment horizontal="right" wrapText="1"/>
    </x:xf>
    <x:xf numFmtId="0" fontId="25" fillId="3" borderId="12" xfId="0" applyNumberFormat="1" applyFont="1" applyFill="1" applyBorder="1" applyAlignment="1">
      <x:alignment horizontal="center" wrapText="1"/>
    </x:xf>
    <x:xf numFmtId="165" fontId="0" fillId="0" borderId="15" xfId="0" applyNumberFormat="1" applyFont="1" applyFill="1" applyBorder="1"/>
    <x:xf numFmtId="165" fontId="0" fillId="0" borderId="16" xfId="0" applyNumberFormat="1" applyFont="1" applyFill="1" applyBorder="1"/>
    <x:xf numFmtId="49" fontId="31" fillId="10" borderId="21" xfId="0" applyNumberFormat="1" applyFont="1" applyFill="1" applyBorder="1" applyAlignment="1">
      <x:alignment horizontal="left" vertical="center"/>
    </x:xf>
    <x:xf numFmtId="43" fontId="0" fillId="0" borderId="12" xfId="0" applyNumberFormat="1" applyFont="1" applyFill="1" applyBorder="1"/>
    <x:xf numFmtId="2" fontId="0" fillId="11" borderId="12" xfId="0" applyNumberFormat="1" applyFont="1" applyFill="1" applyBorder="1"/>
    <x:xf numFmtId="0" fontId="0" fillId="12" borderId="0" xfId="0" applyNumberFormat="1" applyFont="1" applyFill="1" applyBorder="1"/>
    <x:xf numFmtId="0" fontId="33" fillId="12" borderId="0" xfId="0" applyNumberFormat="1" applyFont="1" applyFill="1" applyBorder="1"/>
    <x:xf numFmtId="0" fontId="0" fillId="12" borderId="12" xfId="0" applyNumberFormat="1" applyFont="1" applyFill="1" applyBorder="1"/>
    <x:xf numFmtId="0" fontId="33" fillId="12" borderId="12" xfId="0" applyNumberFormat="1" applyFont="1" applyFill="1" applyBorder="1"/>
    <x:xf numFmtId="0" fontId="0" fillId="13" borderId="0" xfId="0" applyNumberFormat="1" applyFont="1" applyFill="1" applyBorder="1"/>
    <x:xf numFmtId="0" fontId="33" fillId="13" borderId="0" xfId="0" applyNumberFormat="1" applyFont="1" applyFill="1" applyBorder="1"/>
    <x:xf numFmtId="0" fontId="0" fillId="13" borderId="12" xfId="0" applyNumberFormat="1" applyFont="1" applyFill="1" applyBorder="1"/>
    <x:xf numFmtId="0" fontId="33" fillId="13" borderId="12" xfId="0" applyNumberFormat="1" applyFont="1" applyFill="1" applyBorder="1"/>
    <x:xf numFmtId="200" fontId="0" fillId="0" borderId="0" xfId="0" applyNumberFormat="1" applyFont="1" applyFill="1" applyBorder="1"/>
  </x:cellXfs>
  <x:cellStyles count="60">
    <x:cellStyle name="20% - Accent5" xfId="1"/>
    <x:cellStyle name="Accent2" xfId="2"/>
    <x:cellStyle name="calculated" xfId="3"/>
    <x:cellStyle name="Calculation 2" xfId="4"/>
    <x:cellStyle name="Comma" xfId="59"/>
    <x:cellStyle name="Comma 10" xfId="5"/>
    <x:cellStyle name="Comma 11" xfId="6"/>
    <x:cellStyle name="Comma 2" xfId="7"/>
    <x:cellStyle name="Comma 2 2" xfId="8"/>
    <x:cellStyle name="Comma 2 3" xfId="9"/>
    <x:cellStyle name="Comma 2 4" xfId="10"/>
    <x:cellStyle name="Comma 2 5" xfId="11"/>
    <x:cellStyle name="Comma 3" xfId="12"/>
    <x:cellStyle name="Good" xfId="13"/>
    <x:cellStyle name="Hyperlink" xfId="14"/>
    <x:cellStyle name="Hyperlink 3" xfId="15"/>
    <x:cellStyle name="Neutral" xfId="16"/>
    <x:cellStyle name="Normal" xfId="0"/>
    <x:cellStyle name="Normal 10" xfId="17"/>
    <x:cellStyle name="Normal 11" xfId="18"/>
    <x:cellStyle name="Normal 11 2" xfId="19"/>
    <x:cellStyle name="Normal 11 3" xfId="20"/>
    <x:cellStyle name="Normal 11 4" xfId="21"/>
    <x:cellStyle name="Normal 12" xfId="22"/>
    <x:cellStyle name="Normal 12 2" xfId="23"/>
    <x:cellStyle name="Normal 12 3" xfId="24"/>
    <x:cellStyle name="Normal 12 4" xfId="25"/>
    <x:cellStyle name="Normal 2" xfId="26"/>
    <x:cellStyle name="Normal 2 2" xfId="27"/>
    <x:cellStyle name="Normal 2 3" xfId="28"/>
    <x:cellStyle name="Normal 2 4" xfId="29"/>
    <x:cellStyle name="Normal 3" xfId="30"/>
    <x:cellStyle name="Normal 39" xfId="31"/>
    <x:cellStyle name="Normal 4" xfId="32"/>
    <x:cellStyle name="Normal 4 2" xfId="33"/>
    <x:cellStyle name="Normal 5" xfId="58"/>
    <x:cellStyle name="Normal 8" xfId="34"/>
    <x:cellStyle name="Normal 9 2" xfId="35"/>
    <x:cellStyle name="Normale_B2020" xfId="36"/>
    <x:cellStyle name="Note 2" xfId="37"/>
    <x:cellStyle name="Percent 2" xfId="38"/>
    <x:cellStyle name="Percent 2 2" xfId="39"/>
    <x:cellStyle name="Percent 2 2 2" xfId="40"/>
    <x:cellStyle name="Percent 2 3" xfId="41"/>
    <x:cellStyle name="Percent 3" xfId="42"/>
    <x:cellStyle name="Percent 3 2" xfId="43"/>
    <x:cellStyle name="Percent 3 2 2" xfId="44"/>
    <x:cellStyle name="Percent 3 3" xfId="45"/>
    <x:cellStyle name="Percent 3 4" xfId="46"/>
    <x:cellStyle name="Percent 4" xfId="47"/>
    <x:cellStyle name="Percent 4 2" xfId="48"/>
    <x:cellStyle name="Percent 4 3" xfId="49"/>
    <x:cellStyle name="Percent 4 4" xfId="50"/>
    <x:cellStyle name="Percent 5" xfId="51"/>
    <x:cellStyle name="Percent 5 2" xfId="52"/>
    <x:cellStyle name="Percent 6" xfId="53"/>
    <x:cellStyle name="Percent 6 2" xfId="54"/>
    <x:cellStyle name="Percent 7" xfId="55"/>
    <x:cellStyle name="Percent 8" xfId="56"/>
    <x:cellStyle name="Standard_Sce_D_Extraction" xfId="57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f0c7c7642945a5" /><Relationship Type="http://schemas.openxmlformats.org/officeDocument/2006/relationships/theme" Target="/xl/theme/theme1.xml" Id="Readf0aef6aad4c4c" /><Relationship Type="http://schemas.openxmlformats.org/officeDocument/2006/relationships/sharedStrings" Target="/xl/sharedStrings.xml" Id="R17cf09d5c6bc42b8" /><Relationship Type="http://schemas.openxmlformats.org/officeDocument/2006/relationships/worksheet" Target="/xl/worksheets/sheet1.xml" Id="R3d3c9966c2214fb9" /><Relationship Type="http://schemas.openxmlformats.org/officeDocument/2006/relationships/worksheet" Target="/xl/worksheets/sheet2.xml" Id="R766e70b8df094adb" /><Relationship Type="http://schemas.openxmlformats.org/officeDocument/2006/relationships/worksheet" Target="/xl/worksheets/sheet3.xml" Id="R2d8ff393b1684ff1" /><Relationship Type="http://schemas.openxmlformats.org/officeDocument/2006/relationships/worksheet" Target="/xl/worksheets/sheet4.xml" Id="R25fda397a2e04cbe" /><Relationship Type="http://schemas.openxmlformats.org/officeDocument/2006/relationships/worksheet" Target="/xl/worksheets/sheet5.xml" Id="Rff0998dd5aaa4a49" /><Relationship Type="http://schemas.openxmlformats.org/officeDocument/2006/relationships/worksheet" Target="/xl/worksheets/sheet6.xml" Id="Rac90d9c57ef240a8" /><Relationship Type="http://schemas.openxmlformats.org/officeDocument/2006/relationships/worksheet" Target="/xl/worksheets/sheet7.xml" Id="R9bf65e23af4f43ba" /><Relationship Type="http://schemas.microsoft.com/office/2017/10/relationships/person" Target="/xl/persons/person.xml" Id="Rca63f79cfdeb4ae6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png" Id="R6c8c64eea2a64519" /><Relationship Type="http://schemas.openxmlformats.org/officeDocument/2006/relationships/image" Target="/xl/media/image2.png" Id="R83c2ac2e7d3f4280" /><Relationship Type="http://schemas.openxmlformats.org/officeDocument/2006/relationships/image" Target="/xl/media/image3.png" Id="R4bca70965a8643b2" /></Relationships>
</file>

<file path=xl/drawings/drawing1.xml><?xml version="1.0" encoding="utf-8"?>
<xdr:wsDr xmlns:xdr="http://schemas.openxmlformats.org/drawingml/2006/spreadsheetDrawing">
  <xdr:twoCellAnchor editAs="oneCell">
    <xdr:from>
      <xdr:col>2</xdr:col>
      <xdr:colOff>9524</xdr:colOff>
      <xdr:row>61</xdr:row>
      <xdr:rowOff>15875</xdr:rowOff>
    </xdr:from>
    <xdr:to>
      <xdr:col>12</xdr:col>
      <xdr:colOff>21166</xdr:colOff>
      <xdr:row>70</xdr:row>
      <xdr:rowOff>10583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14449" y="10741025"/>
          <a:ext cx="8231717" cy="1452033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>
            <a:buNone/>
          </a:pP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Define each "new"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power plants (FI_Process table).</a:t>
          </a:r>
          <a:endParaRPr/>
        </a:p>
        <a:p xmlns:a="http://schemas.openxmlformats.org/drawingml/2006/main">
          <a:pPr>
            <a:buNone/>
          </a:pP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Declare technology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attributes (FI_T) such as INVCOST. </a:t>
          </a:r>
          <a:endParaRPr/>
        </a:p>
        <a:p xmlns:a="http://schemas.openxmlformats.org/drawingml/2006/main">
          <a:pPr>
            <a:buNone/>
          </a:pPr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Existing technologies are defined in the base-year template while new fuel technologies are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defined here.</a:t>
          </a:r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Duplicate definition should be avoided. </a:t>
          </a:r>
          <a:endParaRPr/>
        </a:p>
        <a:p xmlns:a="http://schemas.openxmlformats.org/drawingml/2006/main"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Vintaging ELCTNGAS00 in the FI_PROCESS setting YES cellW15 and then specifing data by year in table FI_T (column Year. In this example EFF is vintaged for periods 2006 to 2020.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12</xdr:col>
      <xdr:colOff>643255</xdr:colOff>
      <xdr:row>39</xdr:row>
      <xdr:rowOff>120227</xdr:rowOff>
    </xdr:from>
    <xdr:to>
      <xdr:col>17</xdr:col>
      <xdr:colOff>524933</xdr:colOff>
      <xdr:row>46</xdr:row>
      <xdr:rowOff>35984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524788" y="7460827"/>
          <a:ext cx="7738745" cy="110109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>
            <a:buNone/>
          </a:pP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Define each "new"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agriculture, commercial and 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residential demand technologies (FI_Process table).</a:t>
          </a:r>
          <a:endParaRPr/>
        </a:p>
        <a:p xmlns:a="http://schemas.openxmlformats.org/drawingml/2006/main">
          <a:pPr>
            <a:buNone/>
          </a:pP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Declare technology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attributes (FI_T) such as INVCOST. </a:t>
          </a:r>
          <a:endParaRPr/>
        </a:p>
        <a:p xmlns:a="http://schemas.openxmlformats.org/drawingml/2006/main">
          <a:pPr>
            <a:buNone/>
          </a:pPr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Existing demand technologies are defined in the base-year template while new demand technologies are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defined here.</a:t>
          </a:r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Duplicate definition should be avoided. 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1</xdr:col>
      <xdr:colOff>829022</xdr:colOff>
      <xdr:row>36</xdr:row>
      <xdr:rowOff>47279</xdr:rowOff>
    </xdr:from>
    <xdr:to>
      <xdr:col>11</xdr:col>
      <xdr:colOff>390701</xdr:colOff>
      <xdr:row>42</xdr:row>
      <xdr:rowOff>61133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36840" y="10826115"/>
          <a:ext cx="8290043" cy="1011382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6">
            <a:lumMod val="20000"/>
            <a:lumOff val="80000"/>
          </a:schemeClr>
        </a:solidFill>
        <a:ln xmlns:a="http://schemas.openxmlformats.org/drawingml/2006/main" w="9525">
          <a:solidFill>
            <a:schemeClr val="lt1">
              <a:shade val="50000"/>
            </a:schemeClr>
          </a:solidFill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pPr>
            <a:buNone/>
          </a:pP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Define each "new"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transportation technologies (FI_Process table).</a:t>
          </a:r>
          <a:endParaRPr/>
        </a:p>
        <a:p xmlns:a="http://schemas.openxmlformats.org/drawingml/2006/main">
          <a:pPr>
            <a:buNone/>
          </a:pP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Declare technology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attributes (FI_T) such as INVCOST. </a:t>
          </a:r>
          <a:endParaRPr/>
        </a:p>
        <a:p xmlns:a="http://schemas.openxmlformats.org/drawingml/2006/main">
          <a:pPr>
            <a:buNone/>
          </a:pPr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Existing technologies are defined in the base-year template while new fuel technologies are</a:t>
          </a:r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 defined here.</a:t>
          </a:r>
          <a:endParaRPr/>
        </a:p>
        <a:p xmlns:a="http://schemas.openxmlformats.org/drawingml/2006/main">
          <a:r>
            <a:rPr sz="1100">
              <a:solidFill>
                <a:schemeClr val="dk1"/>
              </a:solidFill>
              <a:latin typeface="+mn-lt"/>
              <a:ea typeface="+mn-lt"/>
              <a:cs typeface="+mn-lt"/>
            </a:rPr>
            <a:t>Duplicate definition should be avoided. 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8c64eea2a645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c2ac2e7d3f428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ca70965a8643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persons/person.xml><?xml version="1.0" encoding="utf-8"?>
<xltc:personList xmlns:xltc="http://schemas.microsoft.com/office/spreadsheetml/2018/threadedcomments">
  <xltc:person displayName="Gary Goldstein" id="{A8261CBB-39E8-F5FA-8D69-EEEA8DA50394}"/>
  <xltc:person displayName="Amit Kanudia" id="{40825A48-2F6D-4CBF-9158-7C2178926A7A}"/>
  <xltc:person displayName="Maurizio Gargiulo" id="{2427752A-8C08-A109-8194-AE05E88BF80C}"/>
  <xltc:person displayName="Maurizio Gargiulo" id="{B9BC8F23-2C4D-1569-3EF9-017BD1B8A635}"/>
  <xltc:person displayName="Gary Goldstein" id="{B746212A-4684-2D4E-B611-517CFE4BE6A9}"/>
  <xltc:person displayName="Amit Kanudia" id="{61F0E665-9C51-1A81-E00C-BB01B235224F}"/>
  <xltc:person displayName="Maurizio Gargiulo" id="{3814C62B-5FD1-B864-E2A3-129C9DD07F21}"/>
</xltc: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6c293040c0444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d86998aa4b74df6" /><Relationship Type="http://schemas.openxmlformats.org/officeDocument/2006/relationships/vmlDrawing" Target="/xl/drawings/vmldrawing.vml" Id="R31546623b40846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74a489c480bc4527" /><Relationship Type="http://schemas.openxmlformats.org/officeDocument/2006/relationships/vmlDrawing" Target="/xl/drawings/vmldrawing2.vml" Id="Raa16c8af8fd643b3" /><Relationship Type="http://schemas.openxmlformats.org/officeDocument/2006/relationships/drawing" Target="/xl/drawings/drawing2.xml" Id="R68a2e044a4a24c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31f9a5109ae941bb" /><Relationship Type="http://schemas.openxmlformats.org/officeDocument/2006/relationships/vmlDrawing" Target="/xl/drawings/vmldrawing3.vml" Id="Rcae7c440a56d4b31" /><Relationship Type="http://schemas.openxmlformats.org/officeDocument/2006/relationships/drawing" Target="/xl/drawings/drawing3.xml" Id="R54963797b42845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http://www.iea-etsap.org/Energy_Technologies/Energy_Technology.asp" TargetMode="External" Id="R53b31c1d023c4e41" /><Relationship Type="http://schemas.openxmlformats.org/officeDocument/2006/relationships/hyperlink" Target="http://www.iea-etsap.org/Energy_Technologies/Energy_Supply.asp" TargetMode="External" Id="Re2758b35c0264c23" /><Relationship Type="http://schemas.openxmlformats.org/officeDocument/2006/relationships/hyperlink" Target="http://www.iea-etsap.org/Energy_Technologies/Energy_Demand.asp" TargetMode="External" Id="Rd538a866ef774afb" /><Relationship Type="http://schemas.openxmlformats.org/officeDocument/2006/relationships/drawing" Target="/xl/drawings/drawing4.xml" Id="Rd665612fe3dc4739" /></Relationships>
</file>

<file path=xl/worksheets/sheet1.xml><?xml version="1.0" encoding="utf-8"?>
<x:worksheet xmlns:x="http://schemas.openxmlformats.org/spreadsheetml/2006/main">
  <x:sheetFormatPr defaultRowHeight="13.199999809265137"/>
  <x:cols>
    <x:col min="1" max="1" width="3" style="23" customWidth="1"/>
    <x:col min="2" max="2" width="16.5546875" style="23" customWidth="1"/>
    <x:col min="3" max="3" width="18.33203125" style="23" customWidth="1"/>
    <x:col min="4" max="4" width="15.33203125" style="23" customWidth="1"/>
    <x:col min="5" max="5" width="11.88671875" style="23" customWidth="1"/>
    <x:col min="6" max="6" width="12.6640625" style="23" customWidth="1"/>
    <x:col min="7" max="7" width="13.109375" style="23" customWidth="1"/>
    <x:col min="8" max="8" width="13.109375" style="23" customWidth="1"/>
    <x:col min="9" max="9" width="13.109375" style="23" customWidth="1"/>
    <x:col min="10" max="10" width="9.6640625" style="23" customWidth="1"/>
    <x:col min="11" max="11" width="7.6640625" style="23" customWidth="1"/>
    <x:col min="12" max="12" width="8.33203125" style="23" customWidth="1"/>
    <x:col min="13" max="13" width="7" style="23" customWidth="1"/>
    <x:col min="14" max="14" width="15" style="23" customWidth="1"/>
    <x:col min="15" max="15" width="11.5546875" style="23" customWidth="1"/>
    <x:col min="16" max="16" width="2" style="23" customWidth="1"/>
    <x:col min="17" max="17" width="12.6640625" customWidth="1"/>
    <x:col min="18" max="18" width="7.5546875" customWidth="1"/>
    <x:col min="19" max="19" width="14.6640625" customWidth="1"/>
    <x:col min="20" max="20" width="54.6640625" customWidth="1"/>
    <x:col min="21" max="21" width="5.6640625" customWidth="1"/>
    <x:col min="22" max="22" width="10" customWidth="1"/>
    <x:col min="23" max="23" width="12.33203125" customWidth="1"/>
    <x:col min="24" max="24" width="12.6640625" customWidth="1"/>
    <x:col min="25" max="25" width="7.5546875" customWidth="1"/>
  </x:cols>
  <x:sheetData>
    <x:row r="1" ht="22.799999237060547">
      <x:c r="A1" s="1" t="s">
        <x:v>0</x:v>
      </x:c>
    </x:row>
    <x:row r="2">
      <x:c r="Q2" s="35"/>
      <x:c r="R2" s="35"/>
      <x:c r="S2" s="35"/>
      <x:c r="T2" s="35"/>
      <x:c r="U2" s="35"/>
      <x:c r="V2" s="35"/>
      <x:c r="W2" s="35"/>
      <x:c r="X2" s="35"/>
      <x:c r="Y2" s="35"/>
    </x:row>
    <x:row r="3" ht="14.399999618530273">
      <x:c r="B3" s="22" t="s">
        <x:v>1</x:v>
      </x:c>
      <x:c r="C3" s="8" t="s">
        <x:v>2</x:v>
      </x:c>
      <x:c r="D3" s="8" t="s">
        <x:v>3</x:v>
      </x:c>
      <x:c r="E3" s="22" t="s">
        <x:v>4</x:v>
      </x:c>
      <x:c r="F3" s="22" t="s">
        <x:v>5</x:v>
      </x:c>
      <x:c r="G3" s="22" t="s">
        <x:v>6</x:v>
      </x:c>
      <x:c r="H3" s="22" t="s">
        <x:v>7</x:v>
      </x:c>
    </x:row>
    <x:row r="4" ht="15.600000381469727">
      <x:c r="B4" s="9" t="s">
        <x:v>8</x:v>
      </x:c>
      <x:c r="C4" s="9" t="s">
        <x:v>9</x:v>
      </x:c>
      <x:c r="D4" s="14" t="s">
        <x:v>10</x:v>
      </x:c>
      <x:c r="E4" s="9" t="s">
        <x:v>11</x:v>
      </x:c>
      <x:c r="F4" s="9" t="s">
        <x:v>12</x:v>
      </x:c>
      <x:c r="G4" s="9" t="s">
        <x:v>13</x:v>
      </x:c>
      <x:c r="H4" s="9" t="s">
        <x:v>14</x:v>
      </x:c>
      <x:c r="Q4" s="58" t="s">
        <x:v>15</x:v>
      </x:c>
      <x:c r="R4" s="58"/>
      <x:c r="S4" s="59"/>
      <x:c r="T4" s="59"/>
      <x:c r="U4" s="59"/>
      <x:c r="V4" s="59"/>
      <x:c r="W4" s="59"/>
      <x:c r="X4" s="59"/>
      <x:c r="Y4" s="59"/>
    </x:row>
    <x:row r="5">
      <x:c r="Q5" s="60" t="s">
        <x:v>16</x:v>
      </x:c>
      <x:c r="R5" s="61" t="s">
        <x:v>17</x:v>
      </x:c>
      <x:c r="S5" s="60" t="s">
        <x:v>18</x:v>
      </x:c>
      <x:c r="T5" s="60" t="s">
        <x:v>19</x:v>
      </x:c>
      <x:c r="U5" s="60" t="s">
        <x:v>20</x:v>
      </x:c>
      <x:c r="V5" s="60" t="s">
        <x:v>21</x:v>
      </x:c>
      <x:c r="W5" s="60" t="s">
        <x:v>22</x:v>
      </x:c>
      <x:c r="X5" s="60" t="s">
        <x:v>23</x:v>
      </x:c>
      <x:c r="Y5" s="60" t="s">
        <x:v>24</x:v>
      </x:c>
    </x:row>
    <x:row r="6" ht="32.400001525878906">
      <x:c r="B6" s="28" t="s">
        <x:v>25</x:v>
      </x:c>
      <x:c r="C6" s="8" t="s">
        <x:v>26</x:v>
      </x:c>
      <x:c r="D6" s="8" t="s">
        <x:v>27</x:v>
      </x:c>
      <x:c r="E6" s="8" t="s">
        <x:v>28</x:v>
      </x:c>
      <x:c r="F6" s="8" t="s">
        <x:v>29</x:v>
      </x:c>
      <x:c r="G6" s="8" t="s">
        <x:v>30</x:v>
      </x:c>
      <x:c r="H6" s="8"/>
      <x:c r="I6" s="34"/>
      <x:c r="Q6" s="62" t="s">
        <x:v>31</x:v>
      </x:c>
      <x:c r="R6" s="62" t="s">
        <x:v>32</x:v>
      </x:c>
      <x:c r="S6" s="62" t="s">
        <x:v>33</x:v>
      </x:c>
      <x:c r="T6" s="62" t="s">
        <x:v>34</x:v>
      </x:c>
      <x:c r="U6" s="62" t="s">
        <x:v>20</x:v>
      </x:c>
      <x:c r="V6" s="62" t="s">
        <x:v>35</x:v>
      </x:c>
      <x:c r="W6" s="62" t="s">
        <x:v>36</x:v>
      </x:c>
      <x:c r="X6" s="62" t="s">
        <x:v>37</x:v>
      </x:c>
      <x:c r="Y6" s="62" t="s">
        <x:v>38</x:v>
      </x:c>
    </x:row>
    <x:row r="7" ht="15.600000381469727">
      <x:c r="B7" s="27" t="s">
        <x:v>39</x:v>
      </x:c>
      <x:c r="C7" s="9" t="s">
        <x:v>40</x:v>
      </x:c>
      <x:c r="D7" s="9" t="s">
        <x:v>41</x:v>
      </x:c>
      <x:c r="E7" s="9" t="s">
        <x:v>42</x:v>
      </x:c>
      <x:c r="F7" s="9" t="s">
        <x:v>14</x:v>
      </x:c>
      <x:c r="G7" s="9" t="s">
        <x:v>43</x:v>
      </x:c>
      <x:c r="H7" s="9"/>
      <x:c r="I7" s="31"/>
      <x:c r="Q7" s="2"/>
      <x:c r="S7" s="2"/>
      <x:c r="T7" s="2"/>
      <x:c r="U7" s="2"/>
      <x:c r="V7" s="2"/>
      <x:c r="W7" s="2"/>
      <x:c r="X7" s="2"/>
      <x:c r="Y7" s="2"/>
    </x:row>
    <x:row r="9">
      <x:c r="Q9" s="3"/>
      <x:c r="R9" s="3"/>
    </x:row>
    <x:row r="10">
      <x:c r="B10" s="6" t="s">
        <x:v>44</x:v>
      </x:c>
      <x:c r="G10" s="6"/>
      <x:c r="H10" s="6"/>
      <x:c r="J10" s="6"/>
      <x:c r="K10" s="7"/>
      <x:c r="L10" s="7"/>
      <x:c r="M10" s="5"/>
      <x:c r="Q10" s="58" t="s">
        <x:v>45</x:v>
      </x:c>
      <x:c r="R10" s="58"/>
      <x:c r="S10" s="59"/>
      <x:c r="T10" s="59"/>
      <x:c r="U10" s="59"/>
      <x:c r="V10" s="59"/>
      <x:c r="W10" s="59"/>
      <x:c r="X10" s="59"/>
      <x:c r="Y10" s="59"/>
    </x:row>
    <x:row r="11">
      <x:c r="B11" s="12" t="s">
        <x:v>46</x:v>
      </x:c>
      <x:c r="C11" s="12" t="s">
        <x:v>47</x:v>
      </x:c>
      <x:c r="D11" s="12" t="s">
        <x:v>48</x:v>
      </x:c>
      <x:c r="E11" s="12" t="s">
        <x:v>49</x:v>
      </x:c>
      <x:c r="F11" s="15" t="s">
        <x:v>50</x:v>
      </x:c>
      <x:c r="G11" s="16" t="s">
        <x:v>51</x:v>
      </x:c>
      <x:c r="H11" s="16" t="str">
        <x:v>NCAP_BND~FX</x:v>
      </x:c>
      <x:c r="I11" s="16" t="s">
        <x:v>52</x:v>
      </x:c>
      <x:c r="J11" s="16" t="s">
        <x:v>53</x:v>
      </x:c>
      <x:c r="K11" s="16" t="s">
        <x:v>54</x:v>
      </x:c>
      <x:c r="L11" s="16" t="s">
        <x:v>55</x:v>
      </x:c>
      <x:c r="M11" s="15" t="s">
        <x:v>56</x:v>
      </x:c>
      <x:c r="N11" s="15" t="s">
        <x:v>57</x:v>
      </x:c>
      <x:c r="O11" s="15" t="s">
        <x:v>58</x:v>
      </x:c>
      <x:c r="P11" s="24"/>
      <x:c r="Q11" s="60" t="s">
        <x:v>59</x:v>
      </x:c>
      <x:c r="R11" s="61" t="s">
        <x:v>17</x:v>
      </x:c>
      <x:c r="S11" s="60" t="s">
        <x:v>46</x:v>
      </x:c>
      <x:c r="T11" s="60" t="s">
        <x:v>60</x:v>
      </x:c>
      <x:c r="U11" s="60" t="s">
        <x:v>61</x:v>
      </x:c>
      <x:c r="V11" s="60" t="s">
        <x:v>62</x:v>
      </x:c>
      <x:c r="W11" s="60" t="s">
        <x:v>63</x:v>
      </x:c>
      <x:c r="X11" s="60" t="s">
        <x:v>64</x:v>
      </x:c>
      <x:c r="Y11" s="60" t="s">
        <x:v>65</x:v>
      </x:c>
    </x:row>
    <x:row r="12" ht="21">
      <x:c r="B12" s="11" t="s">
        <x:v>66</x:v>
      </x:c>
      <x:c r="C12" s="11" t="s">
        <x:v>67</x:v>
      </x:c>
      <x:c r="D12" s="11" t="s">
        <x:v>68</x:v>
      </x:c>
      <x:c r="E12" s="11"/>
      <x:c r="F12" s="17"/>
      <x:c r="G12" s="17" t="s">
        <x:v>69</x:v>
      </x:c>
      <x:c r="H12" s="18" t="str">
        <x:v>Exact PDP capacity bound (GW); reconcile existing stock</x:v>
      </x:c>
      <x:c r="I12" s="18" t="s">
        <x:v>70</x:v>
      </x:c>
      <x:c r="J12" s="17" t="s">
        <x:v>71</x:v>
      </x:c>
      <x:c r="K12" s="17" t="s">
        <x:v>72</x:v>
      </x:c>
      <x:c r="L12" s="17" t="s">
        <x:v>73</x:v>
      </x:c>
      <x:c r="M12" s="17" t="s">
        <x:v>74</x:v>
      </x:c>
      <x:c r="N12" s="17" t="s">
        <x:v>75</x:v>
      </x:c>
      <x:c r="O12" s="17" t="s">
        <x:v>76</x:v>
      </x:c>
      <x:c r="Q12" s="63" t="s">
        <x:v>77</x:v>
      </x:c>
      <x:c r="R12" s="63" t="s">
        <x:v>32</x:v>
      </x:c>
      <x:c r="S12" s="63" t="s">
        <x:v>78</x:v>
      </x:c>
      <x:c r="T12" s="63" t="s">
        <x:v>79</x:v>
      </x:c>
      <x:c r="U12" s="63" t="s">
        <x:v>4</x:v>
      </x:c>
      <x:c r="V12" s="63" t="s">
        <x:v>80</x:v>
      </x:c>
      <x:c r="W12" s="63" t="s">
        <x:v>81</x:v>
      </x:c>
      <x:c r="X12" s="63" t="s">
        <x:v>82</x:v>
      </x:c>
      <x:c r="Y12" s="63" t="s">
        <x:v>83</x:v>
      </x:c>
    </x:row>
    <x:row r="13" ht="13.800000190734863">
      <x:c r="B13" s="10" t="s">
        <x:v>84</x:v>
      </x:c>
      <x:c r="C13" s="10"/>
      <x:c r="D13" s="10"/>
      <x:c r="E13" s="10"/>
      <x:c r="F13" s="19"/>
      <x:c r="G13" s="19"/>
      <x:c r="H13" s="20"/>
      <x:c r="I13" s="20"/>
      <x:c r="J13" s="19" t="s">
        <x:v>85</x:v>
      </x:c>
      <x:c r="K13" s="19" t="s">
        <x:v>86</x:v>
      </x:c>
      <x:c r="L13" s="19" t="s">
        <x:v>87</x:v>
      </x:c>
      <x:c r="M13" s="19" t="s">
        <x:v>88</x:v>
      </x:c>
      <x:c r="N13" s="19" t="s">
        <x:v>89</x:v>
      </x:c>
      <x:c r="O13" s="19"/>
      <x:c r="Q13" s="62" t="s">
        <x:v>90</x:v>
      </x:c>
      <x:c r="R13" s="62"/>
      <x:c r="S13" s="62"/>
      <x:c r="T13" s="62"/>
      <x:c r="U13" s="62"/>
      <x:c r="V13" s="62"/>
      <x:c r="W13" s="62"/>
      <x:c r="X13" s="62"/>
      <x:c r="Y13" s="62"/>
    </x:row>
    <x:row r="14">
      <x:c r="B14" s="23" t="str">
        <x:f>S14</x:f>
        <x:v>ELCTNCOA01</x:v>
      </x:c>
      <x:c r="C14" s="23" t="s">
        <x:v>91</x:v>
      </x:c>
      <x:c r="D14" s="23" t="s">
        <x:v>8</x:v>
      </x:c>
      <x:c r="F14" s="25">
        <x:v>2023</x:v>
      </x:c>
      <x:c r="G14" s="26">
        <x:v>0.42</x:v>
      </x:c>
      <x:c r="H14" s="26">
        <x:v>1.32</x:v>
      </x:c>
      <x:c r="I14" s="26">
        <x:v>0.85</x:v>
      </x:c>
      <x:c r="J14" s="23">
        <x:v>1650</x:v>
      </x:c>
      <x:c r="K14" s="26">
        <x:v>30</x:v>
      </x:c>
      <x:c r="L14" s="26">
        <x:v>0.4</x:v>
      </x:c>
      <x:c r="M14" s="23">
        <x:v>40</x:v>
      </x:c>
      <x:c r="N14" s="23">
        <x:v>31.536000000000001</x:v>
      </x:c>
      <x:c r="O14" s="26">
        <x:v>1</x:v>
      </x:c>
      <x:c r="Q14" s="64" t="s">
        <x:v>92</x:v>
      </x:c>
      <x:c r="R14" s="64"/>
      <x:c r="S14" s="64" t="s">
        <x:v>93</x:v>
      </x:c>
      <x:c r="T14" s="64" t="s">
        <x:v>94</x:v>
      </x:c>
      <x:c r="U14" s="64" t="s">
        <x:v>11</x:v>
      </x:c>
      <x:c r="V14" s="64" t="s">
        <x:v>12</x:v>
      </x:c>
      <x:c r="W14" s="59" t="s">
        <x:v>95</x:v>
      </x:c>
      <x:c r="X14" s="64"/>
      <x:c r="Y14" s="64"/>
    </x:row>
    <x:row r="15">
      <x:c r="E15" s="23">
        <x:v>2025</x:v>
      </x:c>
      <x:c r="F15" s="25"/>
      <x:c r="G15" s="26">
        <x:v>0.42</x:v>
      </x:c>
      <x:c r="H15" s="26">
        <x:v>1.32</x:v>
      </x:c>
      <x:c r="I15" s="26">
        <x:v>0.85</x:v>
      </x:c>
      <x:c r="K15" s="26"/>
      <x:c r="L15" s="26"/>
      <x:c r="O15" s="26"/>
      <x:c r="Q15" s="64" t="s">
        <x:v>92</x:v>
      </x:c>
      <x:c r="R15" s="64"/>
      <x:c r="S15" s="64" t="s">
        <x:v>96</x:v>
      </x:c>
      <x:c r="T15" s="64" t="s">
        <x:v>97</x:v>
      </x:c>
      <x:c r="U15" s="64" t="s">
        <x:v>11</x:v>
      </x:c>
      <x:c r="V15" s="64" t="s">
        <x:v>12</x:v>
      </x:c>
      <x:c r="W15" s="59" t="s">
        <x:v>95</x:v>
      </x:c>
      <x:c r="X15" s="64"/>
      <x:c r="Y15" s="64"/>
    </x:row>
    <x:row r="16">
      <x:c r="E16" s="23">
        <x:v>2030</x:v>
      </x:c>
      <x:c r="F16" s="25"/>
      <x:c r="G16" s="26">
        <x:v>0.42</x:v>
      </x:c>
      <x:c r="H16" s="26">
        <x:v>1.44</x:v>
      </x:c>
      <x:c r="I16" s="26">
        <x:v>0.85</x:v>
      </x:c>
      <x:c r="K16" s="26"/>
      <x:c r="L16" s="26"/>
      <x:c r="O16" s="26"/>
      <x:c r="Q16" s="64" t="s">
        <x:v>92</x:v>
      </x:c>
      <x:c r="R16" s="64"/>
      <x:c r="S16" s="64" t="s">
        <x:v>98</x:v>
      </x:c>
      <x:c r="T16" s="64" t="s">
        <x:v>99</x:v>
      </x:c>
      <x:c r="U16" s="64" t="s">
        <x:v>11</x:v>
      </x:c>
      <x:c r="V16" s="64" t="s">
        <x:v>12</x:v>
      </x:c>
      <x:c r="W16" s="59" t="s">
        <x:v>95</x:v>
      </x:c>
      <x:c r="X16" s="64"/>
      <x:c r="Y16" s="64" t="s">
        <x:v>100</x:v>
      </x:c>
    </x:row>
    <x:row r="17">
      <x:c r="E17" s="23">
        <x:v>2035</x:v>
      </x:c>
      <x:c r="F17" s="25"/>
      <x:c r="G17" s="26">
        <x:v>0.42</x:v>
      </x:c>
      <x:c r="H17" s="26">
        <x:v>1.44</x:v>
      </x:c>
      <x:c r="I17" s="26">
        <x:v>0.85</x:v>
      </x:c>
      <x:c r="K17" s="26"/>
      <x:c r="L17" s="26"/>
      <x:c r="O17" s="26"/>
      <x:c r="Q17" s="64" t="s">
        <x:v>92</x:v>
      </x:c>
      <x:c r="R17" s="64"/>
      <x:c r="S17" s="64" t="s">
        <x:v>101</x:v>
      </x:c>
      <x:c r="T17" s="64" t="s">
        <x:v>102</x:v>
      </x:c>
      <x:c r="U17" s="64" t="s">
        <x:v>11</x:v>
      </x:c>
      <x:c r="V17" s="64" t="s">
        <x:v>12</x:v>
      </x:c>
      <x:c r="W17" s="59" t="s">
        <x:v>95</x:v>
      </x:c>
      <x:c r="X17" s="64"/>
      <x:c r="Y17" s="64"/>
    </x:row>
    <x:row r="18">
      <x:c r="E18" s="23">
        <x:v>2040</x:v>
      </x:c>
      <x:c r="F18" s="25"/>
      <x:c r="G18" s="26">
        <x:v>0.42</x:v>
      </x:c>
      <x:c r="H18" s="26">
        <x:v>1.44</x:v>
      </x:c>
      <x:c r="I18" s="26">
        <x:v>0.85</x:v>
      </x:c>
      <x:c r="K18" s="26"/>
      <x:c r="L18" s="26"/>
      <x:c r="O18" s="26"/>
      <x:c r="Q18" s="64" t="s">
        <x:v>92</x:v>
      </x:c>
      <x:c r="R18" s="64"/>
      <x:c r="S18" s="64" t="s">
        <x:v>103</x:v>
      </x:c>
      <x:c r="T18" s="64" t="s">
        <x:v>104</x:v>
      </x:c>
      <x:c r="U18" s="64" t="s">
        <x:v>11</x:v>
      </x:c>
      <x:c r="V18" s="64" t="s">
        <x:v>12</x:v>
      </x:c>
      <x:c r="W18" s="59" t="s">
        <x:v>95</x:v>
      </x:c>
      <x:c r="X18" s="64"/>
    </x:row>
    <x:row r="19">
      <x:c r="B19" s="23" t="str">
        <x:f>S15</x:f>
        <x:v>ELCTNOIL01</x:v>
      </x:c>
      <x:c r="C19" s="23" t="s">
        <x:v>105</x:v>
      </x:c>
      <x:c r="D19" s="23" t="s">
        <x:v>8</x:v>
      </x:c>
      <x:c r="F19" s="23">
        <x:v>2023</x:v>
      </x:c>
      <x:c r="G19" s="26">
        <x:v>0.3</x:v>
      </x:c>
      <x:c r="H19" s="26">
        <x:v>0.52139999999999997</x:v>
      </x:c>
      <x:c r="I19" s="26">
        <x:v>0.85</x:v>
      </x:c>
      <x:c r="J19" s="23">
        <x:v>250</x:v>
      </x:c>
      <x:c r="K19" s="26">
        <x:v>20</x:v>
      </x:c>
      <x:c r="L19" s="26">
        <x:v>0.2</x:v>
      </x:c>
      <x:c r="M19" s="23">
        <x:v>40</x:v>
      </x:c>
      <x:c r="N19" s="23">
        <x:v>31.536000000000001</x:v>
      </x:c>
      <x:c r="O19" s="26">
        <x:v>1</x:v>
      </x:c>
      <x:c r="Q19" s="64" t="s">
        <x:v>92</x:v>
      </x:c>
      <x:c r="R19" s="64"/>
      <x:c r="S19" s="64" t="s">
        <x:v>106</x:v>
      </x:c>
      <x:c r="T19" s="64" t="s">
        <x:v>107</x:v>
      </x:c>
      <x:c r="U19" s="64" t="s">
        <x:v>11</x:v>
      </x:c>
      <x:c r="V19" s="64" t="s">
        <x:v>12</x:v>
      </x:c>
      <x:c r="W19" s="59" t="s">
        <x:v>95</x:v>
      </x:c>
    </x:row>
    <x:row r="20">
      <x:c r="E20" s="23">
        <x:v>2025</x:v>
      </x:c>
      <x:c r="G20" s="26">
        <x:v>0.3</x:v>
      </x:c>
      <x:c r="H20" s="26">
        <x:v>0.52139999999999997</x:v>
      </x:c>
      <x:c r="I20" s="26">
        <x:v>0.85</x:v>
      </x:c>
      <x:c r="K20" s="26"/>
      <x:c r="L20" s="26"/>
      <x:c r="O20" s="26"/>
      <x:c r="Q20" s="64" t="s">
        <x:v>92</x:v>
      </x:c>
      <x:c r="R20" s="64"/>
      <x:c r="S20" s="64" t="s">
        <x:v>108</x:v>
      </x:c>
      <x:c r="T20" s="64" t="s">
        <x:v>109</x:v>
      </x:c>
      <x:c r="U20" s="64" t="s">
        <x:v>11</x:v>
      </x:c>
      <x:c r="V20" s="64" t="s">
        <x:v>12</x:v>
      </x:c>
      <x:c r="W20" s="59" t="s">
        <x:v>95</x:v>
      </x:c>
    </x:row>
    <x:row r="21">
      <x:c r="E21" s="23">
        <x:v>2030</x:v>
      </x:c>
      <x:c r="G21" s="26">
        <x:v>0.3</x:v>
      </x:c>
      <x:c r="H21" s="26">
        <x:v>0.52139999999999997</x:v>
      </x:c>
      <x:c r="I21" s="26">
        <x:v>0.85</x:v>
      </x:c>
      <x:c r="K21" s="26"/>
      <x:c r="L21" s="26"/>
      <x:c r="O21" s="26"/>
      <x:c r="Q21" s="64" t="s">
        <x:v>110</x:v>
      </x:c>
      <x:c r="R21" s="64"/>
      <x:c r="S21" s="23" t="s">
        <x:v>111</x:v>
      </x:c>
      <x:c r="T21" s="64" t="s">
        <x:v>112</x:v>
      </x:c>
      <x:c r="U21" s="64" t="s">
        <x:v>11</x:v>
      </x:c>
      <x:c r="V21" s="64" t="s">
        <x:v>12</x:v>
      </x:c>
      <x:c r="W21" s="59" t="s">
        <x:v>95</x:v>
      </x:c>
    </x:row>
    <x:row r="22">
      <x:c r="E22" s="23">
        <x:v>2035</x:v>
      </x:c>
      <x:c r="G22" s="26">
        <x:v>0.3</x:v>
      </x:c>
      <x:c r="H22" s="26">
        <x:v>0.52139999999999997</x:v>
      </x:c>
      <x:c r="I22" s="26">
        <x:v>0.85</x:v>
      </x:c>
      <x:c r="K22" s="26"/>
      <x:c r="L22" s="26"/>
      <x:c r="O22" s="26"/>
      <x:c r="Q22" s="64" t="s">
        <x:v>92</x:v>
      </x:c>
      <x:c r="R22" s="64"/>
      <x:c r="S22" s="23" t="s">
        <x:v>113</x:v>
      </x:c>
      <x:c r="T22" s="64" t="s">
        <x:v>114</x:v>
      </x:c>
      <x:c r="U22" s="64" t="s">
        <x:v>11</x:v>
      </x:c>
      <x:c r="V22" s="64" t="s">
        <x:v>12</x:v>
      </x:c>
      <x:c r="W22" s="59" t="s">
        <x:v>95</x:v>
      </x:c>
    </x:row>
    <x:row r="23">
      <x:c r="E23" s="23">
        <x:v>2040</x:v>
      </x:c>
      <x:c r="G23" s="26">
        <x:v>0.3</x:v>
      </x:c>
      <x:c r="H23" s="26">
        <x:v>0.52139999999999997</x:v>
      </x:c>
      <x:c r="I23" s="26">
        <x:v>0.85</x:v>
      </x:c>
      <x:c r="K23" s="26"/>
      <x:c r="L23" s="26"/>
      <x:c r="O23" s="26"/>
      <x:c r="Q23" s="64" t="s">
        <x:v>92</x:v>
      </x:c>
      <x:c r="R23" s="64"/>
      <x:c r="S23" s="23" t="s">
        <x:v>115</x:v>
      </x:c>
      <x:c r="T23" s="64" t="s">
        <x:v>116</x:v>
      </x:c>
      <x:c r="U23" s="64" t="s">
        <x:v>11</x:v>
      </x:c>
      <x:c r="V23" s="64" t="s">
        <x:v>12</x:v>
      </x:c>
      <x:c r="W23" s="59" t="s">
        <x:v>95</x:v>
      </x:c>
    </x:row>
    <x:row r="24">
      <x:c r="B24" s="23" t="str">
        <x:f>S16</x:f>
        <x:v>ELCTNGAS01</x:v>
      </x:c>
      <x:c r="C24" s="23" t="s">
        <x:v>117</x:v>
      </x:c>
      <x:c r="D24" s="23" t="s">
        <x:v>8</x:v>
      </x:c>
      <x:c r="F24" s="23">
        <x:v>2027</x:v>
      </x:c>
      <x:c r="G24" s="26">
        <x:v>0.5</x:v>
      </x:c>
      <x:c r="H24" s="26">
        <x:v>0.9</x:v>
      </x:c>
      <x:c r="I24" s="26">
        <x:v>0.85</x:v>
      </x:c>
      <x:c r="J24" s="23">
        <x:v>1100</x:v>
      </x:c>
      <x:c r="K24" s="26">
        <x:v>30</x:v>
      </x:c>
      <x:c r="L24" s="26">
        <x:v>0.35</x:v>
      </x:c>
      <x:c r="M24" s="23">
        <x:v>40</x:v>
      </x:c>
      <x:c r="N24" s="23">
        <x:v>31.536000000000001</x:v>
      </x:c>
      <x:c r="O24" s="26">
        <x:v>1</x:v>
      </x:c>
    </x:row>
    <x:row r="25">
      <x:c r="E25" s="23">
        <x:v>2030</x:v>
      </x:c>
      <x:c r="G25" s="26">
        <x:v>0.5</x:v>
      </x:c>
      <x:c r="H25" s="26">
        <x:v>0.9</x:v>
      </x:c>
      <x:c r="I25" s="26">
        <x:v>0.85</x:v>
      </x:c>
      <x:c r="K25" s="26"/>
      <x:c r="L25" s="26"/>
      <x:c r="O25" s="26"/>
    </x:row>
    <x:row r="26">
      <x:c r="E26" s="23">
        <x:v>2035</x:v>
      </x:c>
      <x:c r="G26" s="26">
        <x:v>0.51</x:v>
      </x:c>
      <x:c r="H26" s="26">
        <x:v>0.9</x:v>
      </x:c>
      <x:c r="I26" s="26">
        <x:v>0.85</x:v>
      </x:c>
      <x:c r="K26" s="26"/>
      <x:c r="L26" s="26"/>
      <x:c r="O26" s="26"/>
    </x:row>
    <x:row r="27">
      <x:c r="E27" s="23">
        <x:v>2040</x:v>
      </x:c>
      <x:c r="G27" s="26">
        <x:v>0.52</x:v>
      </x:c>
      <x:c r="H27" s="26">
        <x:v>0.9</x:v>
      </x:c>
      <x:c r="I27" s="26">
        <x:v>0.85</x:v>
      </x:c>
      <x:c r="K27" s="26"/>
      <x:c r="L27" s="26"/>
      <x:c r="O27" s="26"/>
    </x:row>
    <x:row r="28" ht="13.5" customHeight="1">
      <x:c r="E28" s="23">
        <x:v>2045</x:v>
      </x:c>
      <x:c r="G28" s="26">
        <x:v>0.55000000000000004</x:v>
      </x:c>
      <x:c r="H28" s="26">
        <x:v>0.9</x:v>
      </x:c>
      <x:c r="I28" s="26">
        <x:v>0.85</x:v>
      </x:c>
      <x:c r="K28" s="26"/>
      <x:c r="L28" s="26"/>
      <x:c r="O28" s="26"/>
    </x:row>
    <x:row r="29" ht="13.5" customHeight="1">
      <x:c r="B29" s="23" t="str">
        <x:f>S17</x:f>
        <x:v>ELCRNBIO01</x:v>
      </x:c>
      <x:c r="C29" s="23" t="s">
        <x:v>118</x:v>
      </x:c>
      <x:c r="D29" s="23" t="s">
        <x:v>8</x:v>
      </x:c>
      <x:c r="F29" s="23">
        <x:v>2028</x:v>
      </x:c>
      <x:c r="G29" s="26">
        <x:v>0.35</x:v>
      </x:c>
      <x:c r="H29" s="26">
        <x:v>2.1999999999999999E-2</x:v>
      </x:c>
      <x:c r="I29" s="26">
        <x:v>0.6</x:v>
      </x:c>
      <x:c r="J29" s="23">
        <x:v>2500</x:v>
      </x:c>
      <x:c r="K29" s="23">
        <x:v>30</x:v>
      </x:c>
      <x:c r="L29" s="26">
        <x:v>0.35</x:v>
      </x:c>
      <x:c r="M29" s="23">
        <x:v>25</x:v>
      </x:c>
      <x:c r="N29" s="23">
        <x:v>31.536000000000001</x:v>
      </x:c>
      <x:c r="O29" s="26">
        <x:v>1</x:v>
      </x:c>
    </x:row>
    <x:row r="30" ht="13.5" customHeight="1">
      <x:c r="E30" s="23">
        <x:v>2030</x:v>
      </x:c>
      <x:c r="G30" s="26">
        <x:v>0.35</x:v>
      </x:c>
      <x:c r="H30" s="26">
        <x:v>7.1999999999999995E-2</x:v>
      </x:c>
      <x:c r="I30" s="26">
        <x:v>0.6</x:v>
      </x:c>
      <x:c r="L30" s="26"/>
      <x:c r="O30" s="26"/>
      <x:c r="X30" s="64"/>
      <x:c r="Y30" s="64"/>
    </x:row>
    <x:row r="31" ht="13.5" customHeight="1">
      <x:c r="E31" s="23">
        <x:v>2035</x:v>
      </x:c>
      <x:c r="G31" s="26">
        <x:v>0.35</x:v>
      </x:c>
      <x:c r="H31" s="26">
        <x:v>7.1999999999999995E-2</x:v>
      </x:c>
      <x:c r="I31" s="26">
        <x:v>0.6</x:v>
      </x:c>
      <x:c r="L31" s="26"/>
      <x:c r="O31" s="26"/>
      <x:c r="X31" s="64"/>
      <x:c r="Y31" s="64"/>
    </x:row>
    <x:row r="32" ht="13.5" customHeight="1">
      <x:c r="E32" s="23">
        <x:v>2040</x:v>
      </x:c>
      <x:c r="G32" s="26">
        <x:v>0.35</x:v>
      </x:c>
      <x:c r="H32" s="26">
        <x:v>7.1999999999999995E-2</x:v>
      </x:c>
      <x:c r="I32" s="26">
        <x:v>0.6</x:v>
      </x:c>
      <x:c r="L32" s="26"/>
      <x:c r="O32" s="26"/>
      <x:c r="X32" s="64"/>
      <x:c r="Y32" s="64"/>
    </x:row>
    <x:row r="33">
      <x:c r="B33" s="23" t="str">
        <x:f>S18</x:f>
        <x:v>ELCRNHYD01</x:v>
      </x:c>
      <x:c r="C33" s="23" t="s">
        <x:v>119</x:v>
      </x:c>
      <x:c r="D33" s="23" t="s">
        <x:v>8</x:v>
      </x:c>
      <x:c r="F33" s="23">
        <x:v>2023</x:v>
      </x:c>
      <x:c r="G33" s="26">
        <x:v>1</x:v>
      </x:c>
      <x:c r="H33" s="26">
        <x:v>1.3301000000000001</x:v>
      </x:c>
      <x:c r="I33" s="26">
        <x:v>0.5</x:v>
      </x:c>
      <x:c r="J33" s="23">
        <x:v>3000</x:v>
      </x:c>
      <x:c r="K33" s="23">
        <x:v>35</x:v>
      </x:c>
      <x:c r="L33" s="26">
        <x:v>2</x:v>
      </x:c>
      <x:c r="M33" s="23">
        <x:v>50</x:v>
      </x:c>
      <x:c r="N33" s="23">
        <x:v>31.536000000000001</x:v>
      </x:c>
      <x:c r="O33" s="26">
        <x:v>0.35</x:v>
      </x:c>
      <x:c r="Y33" s="64"/>
    </x:row>
    <x:row r="34">
      <x:c r="E34" s="23">
        <x:v>2025</x:v>
      </x:c>
      <x:c r="G34" s="26">
        <x:v>1</x:v>
      </x:c>
      <x:c r="H34" s="26">
        <x:v>1.3351</x:v>
      </x:c>
      <x:c r="I34" s="26">
        <x:v>0.5</x:v>
      </x:c>
      <x:c r="L34" s="26"/>
      <x:c r="O34" s="26"/>
      <x:c r="X34" s="64"/>
      <x:c r="Y34" s="64"/>
    </x:row>
    <x:row r="35">
      <x:c r="E35" s="23">
        <x:v>2030</x:v>
      </x:c>
      <x:c r="G35" s="26">
        <x:v>1</x:v>
      </x:c>
      <x:c r="H35" s="26">
        <x:v>1.9951000000000001</x:v>
      </x:c>
      <x:c r="I35" s="26">
        <x:v>0.5</x:v>
      </x:c>
      <x:c r="L35" s="26"/>
      <x:c r="O35" s="26"/>
      <x:c r="X35" s="64"/>
      <x:c r="Y35" s="64"/>
    </x:row>
    <x:row r="36">
      <x:c r="E36" s="23">
        <x:v>2035</x:v>
      </x:c>
      <x:c r="G36" s="26">
        <x:v>1</x:v>
      </x:c>
      <x:c r="H36" s="26">
        <x:v>2.7111000000000001</x:v>
      </x:c>
      <x:c r="I36" s="26">
        <x:v>0.5</x:v>
      </x:c>
      <x:c r="L36" s="26"/>
      <x:c r="O36" s="26"/>
      <x:c r="X36" s="64"/>
      <x:c r="Y36" s="64"/>
    </x:row>
    <x:row r="37">
      <x:c r="E37" s="23">
        <x:v>2040</x:v>
      </x:c>
      <x:c r="G37" s="26">
        <x:v>1</x:v>
      </x:c>
      <x:c r="H37" s="26">
        <x:v>2.8811</x:v>
      </x:c>
      <x:c r="I37" s="26">
        <x:v>0.5</x:v>
      </x:c>
      <x:c r="L37" s="26"/>
      <x:c r="O37" s="26"/>
      <x:c r="X37" s="64"/>
      <x:c r="Y37" s="64"/>
    </x:row>
    <x:row r="38">
      <x:c r="B38" s="23" t="str">
        <x:f>S19</x:f>
        <x:v>ELCRNWIN01</x:v>
      </x:c>
      <x:c r="C38" s="23" t="s">
        <x:v>120</x:v>
      </x:c>
      <x:c r="D38" s="23" t="s">
        <x:v>8</x:v>
      </x:c>
      <x:c r="F38" s="23">
        <x:v>2026</x:v>
      </x:c>
      <x:c r="G38" s="26">
        <x:v>1</x:v>
      </x:c>
      <x:c r="H38" s="26">
        <x:v>0.15</x:v>
      </x:c>
      <x:c r="I38" s="26">
        <x:v>0.35</x:v>
      </x:c>
      <x:c r="J38" s="23">
        <x:v>1340</x:v>
      </x:c>
      <x:c r="K38" s="23">
        <x:v>26.7</x:v>
      </x:c>
      <x:c r="L38" s="26"/>
      <x:c r="M38" s="23">
        <x:v>25</x:v>
      </x:c>
      <x:c r="N38" s="23">
        <x:v>31.536000000000001</x:v>
      </x:c>
      <x:c r="O38" s="26">
        <x:v>0.3</x:v>
      </x:c>
    </x:row>
    <x:row r="39">
      <x:c r="E39" s="23">
        <x:v>2030</x:v>
      </x:c>
      <x:c r="G39" s="26">
        <x:v>1</x:v>
      </x:c>
      <x:c r="H39" s="26">
        <x:v>0.9</x:v>
      </x:c>
      <x:c r="I39" s="26">
        <x:v>0.35</x:v>
      </x:c>
      <x:c r="J39" s="23" t="n">
        <x:f>J38*0.95</x:f>
        <x:v>1273</x:v>
      </x:c>
      <x:c r="K39" s="23" t="n">
        <x:f t="shared" ref="K39:K40" si="0">K38*0.95</x:f>
        <x:v>25.365</x:v>
      </x:c>
      <x:c r="O39" s="26"/>
    </x:row>
    <x:row r="40">
      <x:c r="E40" s="23">
        <x:v>2035</x:v>
      </x:c>
      <x:c r="G40" s="26">
        <x:v>1</x:v>
      </x:c>
      <x:c r="H40" s="26">
        <x:v>1.05</x:v>
      </x:c>
      <x:c r="I40" s="26">
        <x:v>0.35</x:v>
      </x:c>
      <x:c r="J40" s="23" t="n">
        <x:f>J39*0.95</x:f>
        <x:v>1209.35</x:v>
      </x:c>
      <x:c r="K40" s="23">
        <x:f t="shared" si="0"/>
        <x:v>24.096749999999997</x:v>
      </x:c>
      <x:c r="O40" s="26"/>
    </x:row>
    <x:row r="41">
      <x:c r="E41" s="23">
        <x:v>2040</x:v>
      </x:c>
      <x:c r="G41" s="26">
        <x:v>1</x:v>
      </x:c>
      <x:c r="H41" s="26">
        <x:v>2.1</x:v>
      </x:c>
      <x:c r="I41" s="26">
        <x:v>0.35</x:v>
      </x:c>
      <x:c r="O41" s="26"/>
    </x:row>
    <x:row r="42">
      <x:c r="B42" s="23" t="str">
        <x:f>S20</x:f>
        <x:v>ELCRNSOL01</x:v>
      </x:c>
      <x:c r="C42" s="23" t="s">
        <x:v>121</x:v>
      </x:c>
      <x:c r="D42" s="23" t="s">
        <x:v>8</x:v>
      </x:c>
      <x:c r="F42" s="23">
        <x:v>2022</x:v>
      </x:c>
      <x:c r="G42" s="26">
        <x:v>1</x:v>
      </x:c>
      <x:c r="H42" s="26">
        <x:v>0.44679999999999997</x:v>
      </x:c>
      <x:c r="I42" s="26">
        <x:v>0.2</x:v>
      </x:c>
      <x:c r="J42" s="23">
        <x:v>550</x:v>
      </x:c>
      <x:c r="K42" s="23">
        <x:v>7</x:v>
      </x:c>
      <x:c r="L42" s="26">
        <x:v>0</x:v>
      </x:c>
      <x:c r="M42" s="23">
        <x:v>25</x:v>
      </x:c>
      <x:c r="N42" s="23">
        <x:v>31.536000000000001</x:v>
      </x:c>
      <x:c r="O42" s="26">
        <x:v>0.2</x:v>
      </x:c>
    </x:row>
    <x:row r="43">
      <x:c r="E43" s="23">
        <x:v>2025</x:v>
      </x:c>
      <x:c r="G43" s="26">
        <x:v>1</x:v>
      </x:c>
      <x:c r="H43" s="26">
        <x:v>0.93679999999999997</x:v>
      </x:c>
      <x:c r="I43" s="26">
        <x:v>0.2</x:v>
      </x:c>
      <x:c r="L43" s="26"/>
      <x:c r="O43" s="26"/>
    </x:row>
    <x:row r="44">
      <x:c r="E44" s="23">
        <x:v>2030</x:v>
      </x:c>
      <x:c r="G44" s="26">
        <x:v>1</x:v>
      </x:c>
      <x:c r="H44" s="26">
        <x:v>2.5268000000000002</x:v>
      </x:c>
      <x:c r="I44" s="26">
        <x:v>0.2</x:v>
      </x:c>
      <x:c r="L44" s="26"/>
      <x:c r="O44" s="26"/>
    </x:row>
    <x:row r="45">
      <x:c r="E45" s="23">
        <x:v>2035</x:v>
      </x:c>
      <x:c r="G45" s="26">
        <x:v>1</x:v>
      </x:c>
      <x:c r="H45" s="26">
        <x:v>3.0908000000000002</x:v>
      </x:c>
      <x:c r="I45" s="26">
        <x:v>0.2</x:v>
      </x:c>
      <x:c r="L45" s="26"/>
      <x:c r="O45" s="26"/>
    </x:row>
    <x:row r="46">
      <x:c r="E46" s="23">
        <x:v>2040</x:v>
      </x:c>
      <x:c r="G46" s="26">
        <x:v>1</x:v>
      </x:c>
      <x:c r="H46" s="26">
        <x:v>4.2907999999999999</x:v>
      </x:c>
      <x:c r="I46" s="26">
        <x:v>0.2</x:v>
      </x:c>
      <x:c r="L46" s="26"/>
      <x:c r="O46" s="26"/>
      <x:c r="Q46" s="64"/>
      <x:c r="S46" s="23"/>
      <x:c r="T46" s="64"/>
      <x:c r="U46" s="64"/>
      <x:c r="V46" s="64"/>
      <x:c r="W46" s="59"/>
    </x:row>
    <x:row r="47">
      <x:c r="B47" s="23" t="str">
        <x:f>S22</x:f>
        <x:v>ELCRNBSO01</x:v>
      </x:c>
      <x:c r="C47" s="23" t="s">
        <x:v>121</x:v>
      </x:c>
      <x:c r="D47" s="23" t="s">
        <x:v>8</x:v>
      </x:c>
      <x:c r="F47" s="23">
        <x:v>2024</x:v>
      </x:c>
      <x:c r="G47" s="26">
        <x:v>1</x:v>
      </x:c>
      <x:c r="H47" s="26">
        <x:v>0.06</x:v>
      </x:c>
      <x:c r="I47" s="26">
        <x:v>0.25</x:v>
      </x:c>
      <x:c r="J47" s="23">
        <x:v>1090</x:v>
      </x:c>
      <x:c r="K47" s="23" t="n">
        <x:f>J47*0.02</x:f>
        <x:v>21.8</x:v>
      </x:c>
      <x:c r="L47" s="26">
        <x:v>0</x:v>
      </x:c>
      <x:c r="M47" s="23">
        <x:v>25</x:v>
      </x:c>
      <x:c r="N47" s="23">
        <x:v>31.536000000000001</x:v>
      </x:c>
      <x:c r="O47" s="26">
        <x:v>0.5</x:v>
      </x:c>
    </x:row>
    <x:row r="48">
      <x:c r="E48" s="23">
        <x:v>2025</x:v>
      </x:c>
      <x:c r="G48" s="26">
        <x:v>1</x:v>
      </x:c>
      <x:c r="H48" s="26">
        <x:v>0.39</x:v>
      </x:c>
      <x:c r="I48" s="26">
        <x:v>0.25</x:v>
      </x:c>
      <x:c r="L48" s="26"/>
      <x:c r="O48" s="26"/>
    </x:row>
    <x:row r="49">
      <x:c r="E49" s="23">
        <x:v>2030</x:v>
      </x:c>
      <x:c r="G49" s="26">
        <x:v>1</x:v>
      </x:c>
      <x:c r="H49" s="26">
        <x:v>0.54</x:v>
      </x:c>
      <x:c r="I49" s="26">
        <x:v>0.25</x:v>
      </x:c>
      <x:c r="L49" s="26"/>
      <x:c r="O49" s="26"/>
    </x:row>
    <x:row r="50">
      <x:c r="E50" s="23">
        <x:v>2035</x:v>
      </x:c>
      <x:c r="G50" s="26">
        <x:v>1</x:v>
      </x:c>
      <x:c r="H50" s="26">
        <x:v>0.54</x:v>
      </x:c>
      <x:c r="I50" s="26">
        <x:v>0.25</x:v>
      </x:c>
      <x:c r="L50" s="26"/>
      <x:c r="O50" s="26"/>
      <x:c r="Q50" s="64"/>
    </x:row>
    <x:row r="51">
      <x:c r="E51" s="23">
        <x:v>2040</x:v>
      </x:c>
      <x:c r="G51" s="26">
        <x:v>1</x:v>
      </x:c>
      <x:c r="H51" s="26">
        <x:v>0.54</x:v>
      </x:c>
      <x:c r="I51" s="26">
        <x:v>0.25</x:v>
      </x:c>
      <x:c r="L51" s="26"/>
      <x:c r="O51" s="26"/>
      <x:c r="Q51" s="64"/>
    </x:row>
    <x:row r="52">
      <x:c r="B52" s="23" t="str">
        <x:f>S23</x:f>
        <x:v>ELCRNPHY01</x:v>
      </x:c>
      <x:c r="C52" s="23" t="s">
        <x:v>119</x:v>
      </x:c>
      <x:c r="D52" s="23" t="s">
        <x:v>8</x:v>
      </x:c>
      <x:c r="F52" s="23">
        <x:v>2030</x:v>
      </x:c>
      <x:c r="G52" s="26">
        <x:v>1</x:v>
      </x:c>
      <x:c r="H52" s="26">
        <x:v>1</x:v>
      </x:c>
      <x:c r="I52" s="23">
        <x:v>0.8</x:v>
      </x:c>
      <x:c r="J52" s="23">
        <x:v>1990</x:v>
      </x:c>
      <x:c r="K52" s="23">
        <x:v>39.799999999999997</x:v>
      </x:c>
      <x:c r="L52" s="26">
        <x:v>2</x:v>
      </x:c>
      <x:c r="M52" s="23">
        <x:v>40</x:v>
      </x:c>
      <x:c r="N52" s="23">
        <x:v>31.536000000000001</x:v>
      </x:c>
      <x:c r="O52" s="23">
        <x:v>0.45</x:v>
      </x:c>
    </x:row>
    <x:row r="53">
      <x:c r="E53" s="23">
        <x:v>2035</x:v>
      </x:c>
      <x:c r="G53" s="26">
        <x:v>1</x:v>
      </x:c>
      <x:c r="H53" s="26">
        <x:v>1</x:v>
      </x:c>
      <x:c r="I53" s="23">
        <x:v>0.8</x:v>
      </x:c>
      <x:c r="L53" s="26"/>
    </x:row>
    <x:row r="54">
      <x:c r="E54" s="23">
        <x:v>2040</x:v>
      </x:c>
      <x:c r="G54" s="26">
        <x:v>1</x:v>
      </x:c>
      <x:c r="H54" s="26">
        <x:v>1.8</x:v>
      </x:c>
      <x:c r="I54" s="23">
        <x:v>0.8</x:v>
      </x:c>
      <x:c r="L54" s="26"/>
      <x:c r="Q54" s="64"/>
    </x:row>
    <x:row r="55">
      <x:c r="B55" s="23" t="s">
        <x:v>111</x:v>
      </x:c>
      <x:c r="C55" s="23" t="s">
        <x:v>8</x:v>
      </x:c>
      <x:c r="D55" s="23" t="s">
        <x:v>8</x:v>
      </x:c>
      <x:c r="F55" s="23">
        <x:v>2025</x:v>
      </x:c>
      <x:c r="G55" s="23">
        <x:v>0.85</x:v>
      </x:c>
      <x:c r="H55" s="23">
        <x:v>0.55400000000000005</x:v>
      </x:c>
      <x:c r="I55" s="23">
        <x:v>0.15</x:v>
      </x:c>
      <x:c r="J55" s="23">
        <x:v>490</x:v>
      </x:c>
      <x:c r="K55" s="23">
        <x:v>9.8000000000000007</x:v>
      </x:c>
      <x:c r="M55" s="23">
        <x:v>15</x:v>
      </x:c>
      <x:c r="N55" s="23">
        <x:v>31.536000000000001</x:v>
      </x:c>
      <x:c r="O55" s="23">
        <x:v>0.5</x:v>
      </x:c>
    </x:row>
    <x:row r="56">
      <x:c r="E56" s="23">
        <x:v>2030</x:v>
      </x:c>
      <x:c r="G56" s="23">
        <x:v>0.85</x:v>
      </x:c>
      <x:c r="H56" s="23">
        <x:v>1.754</x:v>
      </x:c>
      <x:c r="I56" s="23">
        <x:v>0.15</x:v>
      </x:c>
    </x:row>
    <x:row r="57">
      <x:c r="E57" s="23">
        <x:v>2035</x:v>
      </x:c>
      <x:c r="G57" s="23">
        <x:v>0.85</x:v>
      </x:c>
      <x:c r="H57" s="23">
        <x:v>1.754</x:v>
      </x:c>
      <x:c r="I57" s="23">
        <x:v>0.15</x:v>
      </x:c>
    </x:row>
    <x:row r="58">
      <x:c r="E58" s="23">
        <x:v>2040</x:v>
      </x:c>
      <x:c r="G58" s="23">
        <x:v>0.85</x:v>
      </x:c>
      <x:c r="H58" s="23">
        <x:v>2.254</x:v>
      </x:c>
      <x:c r="I58" s="23">
        <x:v>0.15</x:v>
      </x:c>
    </x:row>
  </x:sheetData>
  <x:pageMargins left="0.7" right="0.7" top="0.75" bottom="0.75" header="0.3" footer="0.3"/>
  <x:drawing xmlns:r="http://schemas.openxmlformats.org/officeDocument/2006/relationships" r:id="R66c293040c0444ca"/>
</x:worksheet>
</file>

<file path=xl/worksheets/sheet2.xml><?xml version="1.0" encoding="utf-8"?>
<x:worksheet xmlns:x="http://schemas.openxmlformats.org/spreadsheetml/2006/main">
  <x:sheetFormatPr defaultRowHeight="13.199999809265137"/>
  <x:cols>
    <x:col min="1" max="1" width="3" style="23" customWidth="1"/>
    <x:col min="2" max="2" width="16.5546875" style="23" customWidth="1"/>
    <x:col min="3" max="3" width="18.33203125" style="23" customWidth="1"/>
    <x:col min="4" max="4" width="15.33203125" style="23" customWidth="1"/>
    <x:col min="5" max="5" width="11.88671875" style="23" customWidth="1"/>
    <x:col min="6" max="6" width="12.6640625" style="23" customWidth="1"/>
    <x:col min="7" max="8" width="13.109375" style="23" customWidth="1"/>
    <x:col min="9" max="9" width="9.6640625" style="23" customWidth="1"/>
    <x:col min="10" max="10" width="8.88671875" style="23" customWidth="1"/>
    <x:col min="11" max="11" width="8.33203125" style="23" customWidth="1"/>
    <x:col min="12" max="12" width="8.6640625" style="23" customWidth="1"/>
    <x:col min="13" max="13" width="12.109375" style="23" customWidth="1"/>
    <x:col min="14" max="14" width="9.44140625" style="23" customWidth="1"/>
    <x:col min="15" max="15" width="14.33203125" style="23" customWidth="1"/>
    <x:col min="16" max="16" width="66.88671875" customWidth="1"/>
    <x:col min="17" max="17" width="7.5546875" customWidth="1"/>
    <x:col min="18" max="18" width="14.6640625" customWidth="1"/>
    <x:col min="19" max="19" width="54.6640625" customWidth="1"/>
    <x:col min="20" max="20" width="13.6640625" customWidth="1"/>
    <x:col min="21" max="21" width="11.44140625" customWidth="1"/>
  </x:cols>
  <x:sheetData>
    <x:row r="1" ht="22.799999237060547">
      <x:c r="A1" s="1" t="s">
        <x:v>0</x:v>
      </x:c>
    </x:row>
    <x:row r="2">
      <x:c r="P2" s="35"/>
      <x:c r="Q2" s="35"/>
      <x:c r="R2" s="35"/>
      <x:c r="S2" s="35"/>
      <x:c r="T2" s="35"/>
      <x:c r="U2" s="35"/>
    </x:row>
    <x:row r="3" ht="14.399999618530273">
      <x:c r="B3" s="22" t="s">
        <x:v>1</x:v>
      </x:c>
      <x:c r="C3" s="8" t="s">
        <x:v>2</x:v>
      </x:c>
      <x:c r="D3" s="8" t="s">
        <x:v>3</x:v>
      </x:c>
      <x:c r="E3" s="22" t="s">
        <x:v>4</x:v>
      </x:c>
      <x:c r="F3" s="22" t="s">
        <x:v>5</x:v>
      </x:c>
      <x:c r="G3" s="22" t="s">
        <x:v>6</x:v>
      </x:c>
      <x:c r="I3" s="22" t="s">
        <x:v>7</x:v>
      </x:c>
    </x:row>
    <x:row r="4" ht="31.200000762939453">
      <x:c r="B4" s="9" t="s">
        <x:v>122</x:v>
      </x:c>
      <x:c r="C4" s="9" t="s">
        <x:v>123</x:v>
      </x:c>
      <x:c r="D4" s="14" t="str">
        <x:f>"Demand Technologies"</x:f>
        <x:v>Demand Technologies</x:v>
      </x:c>
      <x:c r="E4" s="9" t="s">
        <x:v>11</x:v>
      </x:c>
      <x:c r="F4" s="9" t="s">
        <x:v>124</x:v>
      </x:c>
      <x:c r="G4" s="9" t="s">
        <x:v>13</x:v>
      </x:c>
      <x:c r="I4" s="9" t="s">
        <x:v>14</x:v>
      </x:c>
      <x:c r="M4" s="58" t="s">
        <x:v>15</x:v>
      </x:c>
      <x:c r="N4" s="58"/>
      <x:c r="O4" s="59"/>
      <x:c r="P4" s="59"/>
      <x:c r="Q4" s="59"/>
      <x:c r="R4" s="59"/>
      <x:c r="S4" s="59"/>
      <x:c r="T4" s="59"/>
      <x:c r="U4" s="59"/>
    </x:row>
    <x:row r="5">
      <x:c r="M5" s="60" t="s">
        <x:v>16</x:v>
      </x:c>
      <x:c r="N5" s="61" t="s">
        <x:v>17</x:v>
      </x:c>
      <x:c r="O5" s="60" t="s">
        <x:v>18</x:v>
      </x:c>
      <x:c r="P5" s="60" t="s">
        <x:v>19</x:v>
      </x:c>
      <x:c r="Q5" s="60" t="s">
        <x:v>20</x:v>
      </x:c>
      <x:c r="R5" s="60" t="s">
        <x:v>21</x:v>
      </x:c>
      <x:c r="S5" s="60" t="s">
        <x:v>22</x:v>
      </x:c>
      <x:c r="T5" s="60" t="s">
        <x:v>23</x:v>
      </x:c>
      <x:c r="U5" s="60" t="s">
        <x:v>24</x:v>
      </x:c>
    </x:row>
    <x:row r="6" ht="22.200000762939453">
      <x:c r="B6" s="28"/>
      <x:c r="C6" s="34"/>
      <x:c r="D6" s="34"/>
      <x:c r="E6" s="34"/>
      <x:c r="F6" s="34"/>
      <x:c r="H6" s="34"/>
      <x:c r="M6" s="62" t="s">
        <x:v>31</x:v>
      </x:c>
      <x:c r="N6" s="62" t="s">
        <x:v>32</x:v>
      </x:c>
      <x:c r="O6" s="62" t="s">
        <x:v>33</x:v>
      </x:c>
      <x:c r="P6" s="62" t="s">
        <x:v>34</x:v>
      </x:c>
      <x:c r="Q6" s="62" t="s">
        <x:v>20</x:v>
      </x:c>
      <x:c r="R6" s="62" t="s">
        <x:v>35</x:v>
      </x:c>
      <x:c r="S6" s="62" t="s">
        <x:v>36</x:v>
      </x:c>
      <x:c r="T6" s="62" t="s">
        <x:v>37</x:v>
      </x:c>
      <x:c r="U6" s="62" t="s">
        <x:v>38</x:v>
      </x:c>
    </x:row>
    <x:row r="7" ht="15.600000381469727">
      <x:c r="B7" s="27"/>
      <x:c r="C7" s="31"/>
      <x:c r="D7" s="31"/>
      <x:c r="E7" s="31"/>
      <x:c r="F7" s="31"/>
      <x:c r="H7" s="31"/>
      <x:c r="M7" s="2" t="s">
        <x:v>125</x:v>
      </x:c>
      <x:c r="N7"/>
      <x:c r="O7" s="2" t="s">
        <x:v>8</x:v>
      </x:c>
      <x:c r="P7" s="2"/>
      <x:c r="Q7" s="2" t="s">
        <x:v>11</x:v>
      </x:c>
      <x:c r="R7" t="s">
        <x:v>126</x:v>
      </x:c>
      <x:c r="S7" t="s">
        <x:v>95</x:v>
      </x:c>
      <x:c r="T7" s="2"/>
      <x:c r="U7" s="2" t="s">
        <x:v>8</x:v>
      </x:c>
    </x:row>
    <x:row r="8">
      <x:c r="M8" s="2" t="s">
        <x:v>127</x:v>
      </x:c>
      <x:c r="N8"/>
      <x:c r="O8" s="2" t="s">
        <x:v>128</x:v>
      </x:c>
      <x:c r="P8" s="2"/>
      <x:c r="Q8" s="2" t="s">
        <x:v>129</x:v>
      </x:c>
      <x:c r="R8" s="2"/>
      <x:c r="S8" t="s">
        <x:v>130</x:v>
      </x:c>
      <x:c r="T8" s="2"/>
      <x:c r="U8" s="2"/>
    </x:row>
    <x:row r="9">
      <x:c r="P9" s="3"/>
      <x:c r="Q9" s="3"/>
    </x:row>
    <x:row r="10">
      <x:c r="B10" s="6" t="s">
        <x:v>44</x:v>
      </x:c>
      <x:c r="C10"/>
      <x:c r="D10"/>
      <x:c r="E10"/>
      <x:c r="F10"/>
      <x:c r="G10" s="6"/>
      <x:c r="H10" s="6"/>
      <x:c r="I10" s="7"/>
      <x:c r="J10" s="5"/>
      <x:c r="K10" s="32"/>
      <x:c r="L10"/>
      <x:c r="M10" s="58" t="s">
        <x:v>45</x:v>
      </x:c>
      <x:c r="N10" s="58"/>
      <x:c r="O10" s="64"/>
      <x:c r="P10" s="64"/>
      <x:c r="Q10" s="64"/>
      <x:c r="R10" s="64"/>
      <x:c r="S10" s="64"/>
      <x:c r="T10" s="64"/>
      <x:c r="U10" s="64"/>
    </x:row>
    <x:row r="11">
      <x:c r="B11" s="12" t="s">
        <x:v>46</x:v>
      </x:c>
      <x:c r="C11" s="12" t="s">
        <x:v>47</x:v>
      </x:c>
      <x:c r="D11" s="12" t="s">
        <x:v>48</x:v>
      </x:c>
      <x:c r="E11" s="15" t="s">
        <x:v>50</x:v>
      </x:c>
      <x:c r="F11" s="16" t="s">
        <x:v>51</x:v>
      </x:c>
      <x:c r="G11" s="16" t="s">
        <x:v>52</x:v>
      </x:c>
      <x:c r="H11" s="44" t="s">
        <x:v>57</x:v>
      </x:c>
      <x:c r="I11" s="16" t="s">
        <x:v>53</x:v>
      </x:c>
      <x:c r="J11" s="16" t="s">
        <x:v>54</x:v>
      </x:c>
      <x:c r="K11" s="15" t="s">
        <x:v>56</x:v>
      </x:c>
      <x:c r="L11"/>
      <x:c r="M11" s="60" t="s">
        <x:v>59</x:v>
      </x:c>
      <x:c r="N11" s="61" t="s">
        <x:v>17</x:v>
      </x:c>
      <x:c r="O11" s="60" t="s">
        <x:v>46</x:v>
      </x:c>
      <x:c r="P11" s="60" t="s">
        <x:v>60</x:v>
      </x:c>
      <x:c r="Q11" s="60" t="s">
        <x:v>61</x:v>
      </x:c>
      <x:c r="R11" s="60" t="s">
        <x:v>62</x:v>
      </x:c>
      <x:c r="S11" s="60" t="s">
        <x:v>63</x:v>
      </x:c>
      <x:c r="T11" s="60" t="s">
        <x:v>64</x:v>
      </x:c>
      <x:c r="U11" s="60" t="s">
        <x:v>65</x:v>
      </x:c>
    </x:row>
    <x:row r="12" ht="21.600000381469727">
      <x:c r="B12" s="11" t="s">
        <x:v>66</x:v>
      </x:c>
      <x:c r="C12" s="11" t="s">
        <x:v>67</x:v>
      </x:c>
      <x:c r="D12" s="11" t="s">
        <x:v>68</x:v>
      </x:c>
      <x:c r="E12" s="17"/>
      <x:c r="F12" s="17" t="s">
        <x:v>69</x:v>
      </x:c>
      <x:c r="G12" s="18" t="s">
        <x:v>70</x:v>
      </x:c>
      <x:c r="H12" s="18" t="s">
        <x:v>75</x:v>
      </x:c>
      <x:c r="I12" s="17" t="s">
        <x:v>71</x:v>
      </x:c>
      <x:c r="J12" s="17" t="s">
        <x:v>72</x:v>
      </x:c>
      <x:c r="K12" s="17" t="s">
        <x:v>74</x:v>
      </x:c>
      <x:c r="L12"/>
      <x:c r="M12" s="62" t="s">
        <x:v>77</x:v>
      </x:c>
      <x:c r="N12" s="62" t="s">
        <x:v>32</x:v>
      </x:c>
      <x:c r="O12" s="62" t="s">
        <x:v>78</x:v>
      </x:c>
      <x:c r="P12" s="62" t="s">
        <x:v>79</x:v>
      </x:c>
      <x:c r="Q12" s="62" t="s">
        <x:v>4</x:v>
      </x:c>
      <x:c r="R12" s="62" t="s">
        <x:v>80</x:v>
      </x:c>
      <x:c r="S12" s="62" t="s">
        <x:v>81</x:v>
      </x:c>
      <x:c r="T12" s="62" t="s">
        <x:v>82</x:v>
      </x:c>
      <x:c r="U12" s="62" t="s">
        <x:v>83</x:v>
      </x:c>
    </x:row>
    <x:row r="13" ht="21.600000381469727">
      <x:c r="B13" s="11" t="s">
        <x:v>84</x:v>
      </x:c>
      <x:c r="C13" s="11"/>
      <x:c r="D13" s="11"/>
      <x:c r="E13" s="17"/>
      <x:c r="F13" s="17"/>
      <x:c r="G13" s="74"/>
      <x:c r="H13" s="75" t="s">
        <x:v>131</x:v>
      </x:c>
      <x:c r="I13" s="17" t="s">
        <x:v>132</x:v>
      </x:c>
      <x:c r="J13" s="17" t="s">
        <x:v>133</x:v>
      </x:c>
      <x:c r="K13" s="17" t="s">
        <x:v>88</x:v>
      </x:c>
      <x:c r="L13"/>
      <x:c r="M13" s="62" t="s">
        <x:v>90</x:v>
      </x:c>
      <x:c r="N13" s="62"/>
      <x:c r="O13" s="62"/>
      <x:c r="P13" s="62"/>
      <x:c r="Q13" s="62"/>
      <x:c r="R13" s="62"/>
      <x:c r="S13" s="62"/>
      <x:c r="T13" s="62"/>
      <x:c r="U13" s="62"/>
    </x:row>
    <x:row r="14">
      <x:c r="B14" t="str">
        <x:f t="shared" ref="B14:B20" si="0">O14</x:f>
        <x:v>IBOILNCOA</x:v>
      </x:c>
      <x:c r="C14" t="s">
        <x:v>134</x:v>
      </x:c>
      <x:c r="D14" s="64" t="s">
        <x:v>135</x:v>
      </x:c>
      <x:c r="E14" s="29">
        <x:v>2022</x:v>
      </x:c>
      <x:c r="F14" s="30">
        <x:v>0.9</x:v>
      </x:c>
      <x:c r="G14" s="30">
        <x:v>0.5</x:v>
      </x:c>
      <x:c r="H14" s="23">
        <x:v>31.536000000000001</x:v>
      </x:c>
      <x:c r="I14" s="82">
        <x:v>975</x:v>
      </x:c>
      <x:c r="J14"/>
      <x:c r="K14">
        <x:v>15</x:v>
      </x:c>
      <x:c r="L14"/>
      <x:c r="M14" s="59" t="s">
        <x:v>136</x:v>
      </x:c>
      <x:c r="N14" s="64"/>
      <x:c r="O14" s="59" t="s">
        <x:v>137</x:v>
      </x:c>
      <x:c r="P14" s="59" t="s">
        <x:v>138</x:v>
      </x:c>
      <x:c r="Q14" s="64" t="s">
        <x:v>11</x:v>
      </x:c>
      <x:c r="R14" s="64" t="s">
        <x:v>139</x:v>
      </x:c>
      <x:c r="S14" s="64"/>
      <x:c r="T14" s="64"/>
      <x:c r="U14" s="64"/>
    </x:row>
    <x:row r="15">
      <x:c r="B15" t="str">
        <x:f t="shared" si="0"/>
        <x:v>IBOILNBIO</x:v>
      </x:c>
      <x:c r="C15" t="s">
        <x:v>140</x:v>
      </x:c>
      <x:c r="D15" s="64" t="s">
        <x:v>135</x:v>
      </x:c>
      <x:c r="E15" s="29">
        <x:v>2022</x:v>
      </x:c>
      <x:c r="F15" s="30">
        <x:v>0.9</x:v>
      </x:c>
      <x:c r="G15" s="30">
        <x:v>0.5</x:v>
      </x:c>
      <x:c r="H15" s="23">
        <x:v>31.536000000000001</x:v>
      </x:c>
      <x:c r="I15" s="82">
        <x:v>750</x:v>
      </x:c>
      <x:c r="J15" s="29"/>
      <x:c r="K15">
        <x:v>15</x:v>
      </x:c>
      <x:c r="L15" s="2"/>
      <x:c r="M15" s="59" t="s">
        <x:v>136</x:v>
      </x:c>
      <x:c r="N15" s="64"/>
      <x:c r="O15" s="59" t="s">
        <x:v>141</x:v>
      </x:c>
      <x:c r="P15" s="59" t="s">
        <x:v>142</x:v>
      </x:c>
      <x:c r="Q15" s="64" t="s">
        <x:v>11</x:v>
      </x:c>
      <x:c r="R15" s="64" t="s">
        <x:v>139</x:v>
      </x:c>
      <x:c r="S15" s="64"/>
      <x:c r="T15" s="64"/>
      <x:c r="U15" s="64"/>
    </x:row>
    <x:row r="16">
      <x:c r="B16" t="str">
        <x:f t="shared" si="0"/>
        <x:v>IBOILNELC</x:v>
      </x:c>
      <x:c r="C16" t="s">
        <x:v>143</x:v>
      </x:c>
      <x:c r="D16" s="64" t="s">
        <x:v>135</x:v>
      </x:c>
      <x:c r="E16" s="29">
        <x:v>2022</x:v>
      </x:c>
      <x:c r="F16" s="30">
        <x:v>0.99</x:v>
      </x:c>
      <x:c r="G16" s="30">
        <x:v>0.5</x:v>
      </x:c>
      <x:c r="H16" s="23">
        <x:v>31.536000000000001</x:v>
      </x:c>
      <x:c r="I16" s="82">
        <x:v>2078.7684537684499</x:v>
      </x:c>
      <x:c r="J16" s="29"/>
      <x:c r="K16">
        <x:v>15</x:v>
      </x:c>
      <x:c r="L16" s="2"/>
      <x:c r="M16" s="59" t="s">
        <x:v>136</x:v>
      </x:c>
      <x:c r="N16" s="64"/>
      <x:c r="O16" s="59" t="s">
        <x:v>144</x:v>
      </x:c>
      <x:c r="P16" s="59" t="s">
        <x:v>145</x:v>
      </x:c>
      <x:c r="Q16" s="64" t="s">
        <x:v>11</x:v>
      </x:c>
      <x:c r="R16" s="64" t="s">
        <x:v>139</x:v>
      </x:c>
      <x:c r="S16" s="64" t="s">
        <x:v>95</x:v>
      </x:c>
      <x:c r="T16" s="64"/>
      <x:c r="U16" s="64"/>
    </x:row>
    <x:row r="17">
      <x:c r="B17" s="2" t="s">
        <x:v>146</x:v>
      </x:c>
      <x:c r="C17" t="s">
        <x:v>147</x:v>
      </x:c>
      <x:c r="D17" t="s">
        <x:v>148</x:v>
      </x:c>
      <x:c r="E17" s="29">
        <x:v>2022</x:v>
      </x:c>
      <x:c r="F17" s="30">
        <x:v>0.5</x:v>
      </x:c>
      <x:c r="G17" s="30">
        <x:v>0.5</x:v>
      </x:c>
      <x:c r="H17" s="23">
        <x:v>31.536000000000001</x:v>
      </x:c>
      <x:c r="I17" s="82">
        <x:v>500</x:v>
      </x:c>
      <x:c r="J17"/>
      <x:c r="K17">
        <x:v>10</x:v>
      </x:c>
      <x:c r="L17"/>
      <x:c r="M17" s="59" t="s">
        <x:v>136</x:v>
      </x:c>
      <x:c r="N17" s="64"/>
      <x:c r="O17" t="s">
        <x:v>146</x:v>
      </x:c>
      <x:c r="P17" s="59" t="s">
        <x:v>149</x:v>
      </x:c>
      <x:c r="Q17" s="64" t="s">
        <x:v>11</x:v>
      </x:c>
      <x:c r="R17" s="64" t="s">
        <x:v>139</x:v>
      </x:c>
      <x:c r="S17" s="64"/>
      <x:c r="T17" s="64"/>
      <x:c r="U17" s="64"/>
    </x:row>
    <x:row r="18">
      <x:c r="B18" t="str">
        <x:f t="shared" si="0"/>
        <x:v>ICOMPNELC</x:v>
      </x:c>
      <x:c r="C18" s="23" t="s">
        <x:v>143</x:v>
      </x:c>
      <x:c r="D18" t="s">
        <x:v>150</x:v>
      </x:c>
      <x:c r="E18" s="29">
        <x:v>2022</x:v>
      </x:c>
      <x:c r="F18" s="30">
        <x:v>1</x:v>
      </x:c>
      <x:c r="G18" s="30">
        <x:v>0.5</x:v>
      </x:c>
      <x:c r="H18" s="23">
        <x:v>31.536000000000001</x:v>
      </x:c>
      <x:c r="I18" s="82">
        <x:v>1340</x:v>
      </x:c>
      <x:c r="J18"/>
      <x:c r="K18">
        <x:v>15.5</x:v>
      </x:c>
      <x:c r="L18"/>
      <x:c r="M18" s="59" t="s">
        <x:v>136</x:v>
      </x:c>
      <x:c r="N18" s="64"/>
      <x:c r="O18" s="59" t="s">
        <x:v>151</x:v>
      </x:c>
      <x:c r="P18" s="59" t="s">
        <x:v>152</x:v>
      </x:c>
      <x:c r="Q18" s="64" t="s">
        <x:v>11</x:v>
      </x:c>
      <x:c r="R18" s="64" t="s">
        <x:v>139</x:v>
      </x:c>
      <x:c r="S18" s="64" t="s">
        <x:v>95</x:v>
      </x:c>
      <x:c r="T18" s="64"/>
      <x:c r="U18" s="64"/>
    </x:row>
    <x:row r="19">
      <x:c r="B19" t="str">
        <x:f t="shared" si="0"/>
        <x:v>IPUMPNELC</x:v>
      </x:c>
      <x:c r="C19" s="23" t="s">
        <x:v>143</x:v>
      </x:c>
      <x:c r="D19" t="s">
        <x:v>153</x:v>
      </x:c>
      <x:c r="E19" s="29">
        <x:v>2022</x:v>
      </x:c>
      <x:c r="F19" s="30">
        <x:v>0.7</x:v>
      </x:c>
      <x:c r="G19" s="30">
        <x:v>0.5</x:v>
      </x:c>
      <x:c r="H19" s="23">
        <x:v>31.536000000000001</x:v>
      </x:c>
      <x:c r="I19" s="82">
        <x:v>1700</x:v>
      </x:c>
      <x:c r="J19"/>
      <x:c r="K19">
        <x:v>10</x:v>
      </x:c>
      <x:c r="L19"/>
      <x:c r="M19" s="59" t="s">
        <x:v>136</x:v>
      </x:c>
      <x:c r="N19" s="64"/>
      <x:c r="O19" s="59" t="s">
        <x:v>154</x:v>
      </x:c>
      <x:c r="P19" s="59" t="s">
        <x:v>155</x:v>
      </x:c>
      <x:c r="Q19" s="64" t="s">
        <x:v>11</x:v>
      </x:c>
      <x:c r="R19" s="64" t="s">
        <x:v>139</x:v>
      </x:c>
      <x:c r="S19" s="64" t="s">
        <x:v>95</x:v>
      </x:c>
      <x:c r="T19" s="64"/>
      <x:c r="U19" s="64"/>
    </x:row>
    <x:row r="20">
      <x:c r="B20" t="str">
        <x:f t="shared" si="0"/>
        <x:v>IMOTONELC</x:v>
      </x:c>
      <x:c r="C20" s="23" t="s">
        <x:v>143</x:v>
      </x:c>
      <x:c r="D20" s="23" t="s">
        <x:v>156</x:v>
      </x:c>
      <x:c r="E20" s="29">
        <x:v>2022</x:v>
      </x:c>
      <x:c r="F20" s="30">
        <x:v>0.95</x:v>
      </x:c>
      <x:c r="G20" s="30">
        <x:v>0.5</x:v>
      </x:c>
      <x:c r="H20" s="23">
        <x:v>31.536000000000001</x:v>
      </x:c>
      <x:c r="I20" s="82">
        <x:v>120</x:v>
      </x:c>
      <x:c r="J20" s="29"/>
      <x:c r="K20">
        <x:v>10</x:v>
      </x:c>
      <x:c r="M20" s="23" t="s">
        <x:v>136</x:v>
      </x:c>
      <x:c r="O20" s="23" t="s">
        <x:v>157</x:v>
      </x:c>
      <x:c r="P20" t="s">
        <x:v>158</x:v>
      </x:c>
      <x:c r="Q20" t="s">
        <x:v>11</x:v>
      </x:c>
      <x:c r="R20" t="s">
        <x:v>139</x:v>
      </x:c>
      <x:c r="S20" s="64" t="s">
        <x:v>95</x:v>
      </x:c>
    </x:row>
    <x:row r="21">
      <x:c r="B21" s="23" t="s">
        <x:v>159</x:v>
      </x:c>
      <x:c r="C21" s="23" t="s">
        <x:v>143</x:v>
      </x:c>
      <x:c r="D21" s="23" t="s">
        <x:v>160</x:v>
      </x:c>
      <x:c r="E21" s="29">
        <x:v>2022</x:v>
      </x:c>
      <x:c r="F21" s="23">
        <x:v>0.9</x:v>
      </x:c>
      <x:c r="G21" s="23">
        <x:v>0.5</x:v>
      </x:c>
      <x:c r="H21" s="23">
        <x:v>31.536000000000001</x:v>
      </x:c>
      <x:c r="I21" s="82">
        <x:v>100</x:v>
      </x:c>
      <x:c r="K21" s="23">
        <x:v>10</x:v>
      </x:c>
      <x:c r="M21" s="23" t="s">
        <x:v>136</x:v>
      </x:c>
      <x:c r="O21" s="23" t="s">
        <x:v>159</x:v>
      </x:c>
      <x:c r="P21" t="s">
        <x:v>161</x:v>
      </x:c>
      <x:c r="Q21" t="s">
        <x:v>11</x:v>
      </x:c>
      <x:c r="R21" t="s">
        <x:v>139</x:v>
      </x:c>
      <x:c r="S21" s="64" t="s">
        <x:v>95</x:v>
      </x:c>
    </x:row>
    <x:row r="22">
      <x:c r="B22" s="23" t="s">
        <x:v>162</x:v>
      </x:c>
      <x:c r="C22" t="s">
        <x:v>147</x:v>
      </x:c>
      <x:c r="D22" s="23" t="s">
        <x:v>160</x:v>
      </x:c>
      <x:c r="E22" s="29">
        <x:v>2022</x:v>
      </x:c>
      <x:c r="F22" s="23">
        <x:v>0.5</x:v>
      </x:c>
      <x:c r="G22" s="23">
        <x:v>0.5</x:v>
      </x:c>
      <x:c r="H22" s="23">
        <x:v>31.536000000000001</x:v>
      </x:c>
      <x:c r="I22" s="82">
        <x:v>100</x:v>
      </x:c>
      <x:c r="K22" s="23">
        <x:v>10</x:v>
      </x:c>
      <x:c r="M22" s="23" t="s">
        <x:v>136</x:v>
      </x:c>
      <x:c r="O22" s="23" t="s">
        <x:v>162</x:v>
      </x:c>
      <x:c r="P22" s="2" t="s">
        <x:v>163</x:v>
      </x:c>
      <x:c r="Q22" t="s">
        <x:v>11</x:v>
      </x:c>
      <x:c r="R22" t="s">
        <x:v>139</x:v>
      </x:c>
    </x:row>
    <x:row r="23">
      <x:c r="P23" s="2"/>
    </x:row>
    <x:row r="27">
      <x:c r="D27" s="7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8671875" defaultRowHeight="13.199999809265137"/>
  <x:cols>
    <x:col min="1" max="1" width="2" customWidth="1"/>
    <x:col min="2" max="2" width="13.33203125" customWidth="1"/>
    <x:col min="3" max="3" width="11.33203125" customWidth="1"/>
    <x:col min="4" max="4" width="11.6640625" customWidth="1"/>
    <x:col min="5" max="5" width="11.44140625" customWidth="1"/>
    <x:col min="6" max="6" width="8.33203125" customWidth="1"/>
    <x:col min="7" max="7" width="14.44140625" customWidth="1"/>
    <x:col min="8" max="8" width="9.109375" customWidth="1"/>
    <x:col min="9" max="9" width="14" customWidth="1"/>
    <x:col min="10" max="10" width="2" customWidth="1"/>
    <x:col min="11" max="11" width="13.6640625" customWidth="1"/>
    <x:col min="12" max="12" width="16.33203125" customWidth="1"/>
    <x:col min="13" max="13" width="11.44140625" customWidth="1"/>
    <x:col min="14" max="14" width="18.5546875" customWidth="1"/>
    <x:col min="15" max="15" width="15" customWidth="1"/>
    <x:col min="16" max="16" width="17.5546875" customWidth="1"/>
    <x:col min="17" max="17" width="15.6640625" customWidth="1"/>
    <x:col min="18" max="18" width="15.109375" customWidth="1"/>
    <x:col min="19" max="19" width="10" customWidth="1"/>
    <x:col min="20" max="16384" width="8.88671875" style="23" customWidth="0"/>
  </x:cols>
  <x:sheetData>
    <x:row r="1" ht="14.399999618530273">
      <x:c r="B1" s="22" t="s">
        <x:v>1</x:v>
      </x:c>
      <x:c r="C1" s="22" t="s">
        <x:v>164</x:v>
      </x:c>
      <x:c r="D1" s="22" t="s">
        <x:v>2</x:v>
      </x:c>
      <x:c r="E1" s="22" t="s">
        <x:v>165</x:v>
      </x:c>
      <x:c r="F1" s="21"/>
      <x:c r="G1" s="22" t="s">
        <x:v>6</x:v>
      </x:c>
    </x:row>
    <x:row r="2" ht="15.600000381469727">
      <x:c r="B2" s="9"/>
      <x:c r="C2" s="9"/>
      <x:c r="D2" s="9"/>
      <x:c r="E2" s="9" t="s">
        <x:v>11</x:v>
      </x:c>
      <x:c r="G2" s="9" t="s">
        <x:v>13</x:v>
      </x:c>
      <x:c r="K2" s="58" t="s">
        <x:v>15</x:v>
      </x:c>
      <x:c r="L2" s="58"/>
      <x:c r="M2" s="59"/>
      <x:c r="N2" s="59"/>
      <x:c r="O2" s="59"/>
      <x:c r="P2" s="59"/>
      <x:c r="Q2" s="59"/>
      <x:c r="R2" s="59"/>
      <x:c r="S2" s="59"/>
    </x:row>
    <x:row r="3">
      <x:c r="K3" s="60" t="s">
        <x:v>16</x:v>
      </x:c>
      <x:c r="L3" s="61" t="s">
        <x:v>17</x:v>
      </x:c>
      <x:c r="M3" s="60" t="s">
        <x:v>18</x:v>
      </x:c>
      <x:c r="N3" s="60" t="s">
        <x:v>19</x:v>
      </x:c>
      <x:c r="O3" s="60" t="s">
        <x:v>20</x:v>
      </x:c>
      <x:c r="P3" s="60" t="s">
        <x:v>21</x:v>
      </x:c>
      <x:c r="Q3" s="60" t="s">
        <x:v>22</x:v>
      </x:c>
      <x:c r="R3" s="60" t="s">
        <x:v>23</x:v>
      </x:c>
      <x:c r="S3" s="60" t="s">
        <x:v>24</x:v>
      </x:c>
    </x:row>
    <x:row r="4" ht="21.600000381469727">
      <x:c r="C4" s="2"/>
      <x:c r="K4" s="62" t="s">
        <x:v>31</x:v>
      </x:c>
      <x:c r="L4" s="62" t="s">
        <x:v>32</x:v>
      </x:c>
      <x:c r="M4" s="62" t="s">
        <x:v>33</x:v>
      </x:c>
      <x:c r="N4" s="62" t="s">
        <x:v>34</x:v>
      </x:c>
      <x:c r="O4" s="62" t="s">
        <x:v>20</x:v>
      </x:c>
      <x:c r="P4" s="62" t="s">
        <x:v>35</x:v>
      </x:c>
      <x:c r="Q4" s="62" t="s">
        <x:v>36</x:v>
      </x:c>
      <x:c r="R4" s="62" t="s">
        <x:v>37</x:v>
      </x:c>
      <x:c r="S4" s="62" t="s">
        <x:v>38</x:v>
      </x:c>
    </x:row>
    <x:row r="5">
      <x:c r="K5" s="2"/>
      <x:c r="M5" s="2"/>
      <x:c r="N5" s="2"/>
      <x:c r="O5" s="2"/>
      <x:c r="P5" s="2"/>
      <x:c r="Q5" s="2"/>
      <x:c r="R5" s="2"/>
      <x:c r="S5" s="2"/>
    </x:row>
    <x:row r="7">
      <x:c r="B7" s="6" t="s">
        <x:v>44</x:v>
      </x:c>
      <x:c r="H7" s="6"/>
      <x:c r="K7" s="58" t="s">
        <x:v>45</x:v>
      </x:c>
      <x:c r="L7" s="58"/>
      <x:c r="M7" s="64"/>
      <x:c r="N7" s="64"/>
      <x:c r="O7" s="64"/>
      <x:c r="P7" s="64"/>
      <x:c r="Q7" s="64"/>
      <x:c r="R7" s="64"/>
      <x:c r="S7" s="64"/>
    </x:row>
    <x:row r="8">
      <x:c r="B8" s="4" t="s">
        <x:v>46</x:v>
      </x:c>
      <x:c r="C8" s="13" t="s">
        <x:v>47</x:v>
      </x:c>
      <x:c r="D8" s="4" t="s">
        <x:v>48</x:v>
      </x:c>
      <x:c r="E8" s="4" t="s">
        <x:v>49</x:v>
      </x:c>
      <x:c r="F8" s="4" t="s">
        <x:v>21</x:v>
      </x:c>
      <x:c r="G8" s="41" t="s">
        <x:v>166</x:v>
      </x:c>
      <x:c r="H8" s="41" t="s">
        <x:v>167</x:v>
      </x:c>
      <x:c r="I8" s="41" t="s">
        <x:v>168</x:v>
      </x:c>
      <x:c r="K8" s="60" t="s">
        <x:v>59</x:v>
      </x:c>
      <x:c r="L8" s="61" t="s">
        <x:v>17</x:v>
      </x:c>
      <x:c r="M8" s="60" t="s">
        <x:v>46</x:v>
      </x:c>
      <x:c r="N8" s="60" t="s">
        <x:v>60</x:v>
      </x:c>
      <x:c r="O8" s="60" t="s">
        <x:v>61</x:v>
      </x:c>
      <x:c r="P8" s="60" t="s">
        <x:v>62</x:v>
      </x:c>
      <x:c r="Q8" s="60" t="s">
        <x:v>63</x:v>
      </x:c>
      <x:c r="R8" s="60" t="s">
        <x:v>64</x:v>
      </x:c>
      <x:c r="S8" s="60" t="s">
        <x:v>65</x:v>
      </x:c>
    </x:row>
    <x:row r="9" ht="21.600000381469727">
      <x:c r="B9" s="10" t="s">
        <x:v>66</x:v>
      </x:c>
      <x:c r="C9" s="10" t="s">
        <x:v>67</x:v>
      </x:c>
      <x:c r="D9" s="10" t="s">
        <x:v>68</x:v>
      </x:c>
      <x:c r="E9" s="10"/>
      <x:c r="F9" s="10"/>
      <x:c r="G9" s="10" t="s">
        <x:v>169</x:v>
      </x:c>
      <x:c r="H9" s="10" t="s">
        <x:v>170</x:v>
      </x:c>
      <x:c r="I9" s="10" t="s">
        <x:v>171</x:v>
      </x:c>
      <x:c r="K9" s="62" t="s">
        <x:v>77</x:v>
      </x:c>
      <x:c r="L9" s="62" t="s">
        <x:v>32</x:v>
      </x:c>
      <x:c r="M9" s="62" t="s">
        <x:v>78</x:v>
      </x:c>
      <x:c r="N9" s="62" t="s">
        <x:v>79</x:v>
      </x:c>
      <x:c r="O9" s="62" t="s">
        <x:v>4</x:v>
      </x:c>
      <x:c r="P9" s="62" t="s">
        <x:v>80</x:v>
      </x:c>
      <x:c r="Q9" s="62" t="s">
        <x:v>81</x:v>
      </x:c>
      <x:c r="R9" s="62" t="s">
        <x:v>82</x:v>
      </x:c>
      <x:c r="S9" s="62" t="s">
        <x:v>83</x:v>
      </x:c>
    </x:row>
    <x:row r="10" ht="13.800000190734863">
      <x:c r="B10" s="10" t="s">
        <x:v>84</x:v>
      </x:c>
      <x:c r="C10" s="40"/>
      <x:c r="D10" s="40"/>
      <x:c r="E10" s="40"/>
      <x:c r="F10" s="40"/>
      <x:c r="G10" s="40" t="s">
        <x:v>11</x:v>
      </x:c>
      <x:c r="H10" s="40" t="s">
        <x:v>172</x:v>
      </x:c>
      <x:c r="I10" s="40" t="s">
        <x:v>11</x:v>
      </x:c>
      <x:c r="K10" s="62" t="s">
        <x:v>90</x:v>
      </x:c>
      <x:c r="L10" s="65"/>
      <x:c r="M10" s="65"/>
      <x:c r="N10" s="65"/>
      <x:c r="O10" s="65"/>
      <x:c r="P10" s="65"/>
      <x:c r="Q10" s="65"/>
      <x:c r="R10" s="65"/>
      <x:c r="S10" s="65"/>
    </x:row>
    <x:row r="11">
      <x:c r="B11" s="2" t="s">
        <x:v>173</x:v>
      </x:c>
      <x:c r="C11" s="2"/>
      <x:c r="D11" s="2" t="s">
        <x:v>174</x:v>
      </x:c>
      <x:c r="E11" s="2">
        <x:v>2022</x:v>
      </x:c>
      <x:c r="F11" s="2"/>
      <x:c r="G11" s="43"/>
      <x:c r="H11" s="23">
        <x:v>22.5</x:v>
      </x:c>
      <x:c r="I11" s="42"/>
      <x:c r="K11" s="64" t="e">
        <x:f>[2]EB1!$B$6</x:f>
        <x:v>#NAME?</x:v>
      </x:c>
      <x:c r="M11" s="2" t="s">
        <x:v>173</x:v>
      </x:c>
      <x:c r="N11" s="21"/>
      <x:c r="O11" s="64" t="str">
        <x:f>$E$2</x:f>
        <x:v>PJ</x:v>
      </x:c>
      <x:c r="U11" s="23">
        <x:v>22.5</x:v>
      </x:c>
    </x:row>
    <x:row r="12">
      <x:c r="B12" s="2" t="s">
        <x:v>175</x:v>
      </x:c>
      <x:c r="C12" s="2"/>
      <x:c r="D12" s="2" t="s">
        <x:v>176</x:v>
      </x:c>
      <x:c r="E12" s="2">
        <x:v>2022</x:v>
      </x:c>
      <x:c r="F12" s="2"/>
      <x:c r="G12" s="43"/>
      <x:c r="H12" s="23">
        <x:v>23.4</x:v>
      </x:c>
      <x:c r="I12" s="42"/>
      <x:c r="K12" s="64" t="e">
        <x:f>[2]EB1!$B$6</x:f>
        <x:v>#NAME?</x:v>
      </x:c>
      <x:c r="M12" s="2" t="s">
        <x:v>175</x:v>
      </x:c>
      <x:c r="N12" s="21"/>
      <x:c r="O12" s="64" t="str">
        <x:f t="shared" ref="O12:O21" si="0">$E$2</x:f>
        <x:v>PJ</x:v>
      </x:c>
      <x:c r="U12" s="23">
        <x:v>23.4</x:v>
      </x:c>
    </x:row>
    <x:row r="13">
      <x:c r="B13" s="2" t="s">
        <x:v>177</x:v>
      </x:c>
      <x:c r="C13" s="2"/>
      <x:c r="D13" s="2" t="s">
        <x:v>178</x:v>
      </x:c>
      <x:c r="E13" s="2">
        <x:v>2022</x:v>
      </x:c>
      <x:c r="F13" s="2"/>
      <x:c r="G13" s="43"/>
      <x:c r="H13" s="23">
        <x:v>15.4</x:v>
      </x:c>
      <x:c r="I13" s="42"/>
      <x:c r="K13" s="64" t="e">
        <x:f>[2]EB1!$B$6</x:f>
        <x:v>#NAME?</x:v>
      </x:c>
      <x:c r="M13" s="2" t="s">
        <x:v>177</x:v>
      </x:c>
      <x:c r="N13" s="21"/>
      <x:c r="O13" s="64" t="str">
        <x:f t="shared" si="0"/>
        <x:v>PJ</x:v>
      </x:c>
      <x:c r="U13" s="23">
        <x:v>15.4</x:v>
      </x:c>
    </x:row>
    <x:row r="14">
      <x:c r="B14" s="2" t="s">
        <x:v>179</x:v>
      </x:c>
      <x:c r="C14" s="2"/>
      <x:c r="D14" s="2" t="s">
        <x:v>180</x:v>
      </x:c>
      <x:c r="E14" s="2">
        <x:v>2022</x:v>
      </x:c>
      <x:c r="F14" s="2"/>
      <x:c r="G14" s="2"/>
      <x:c r="H14" s="23">
        <x:v>20.8</x:v>
      </x:c>
      <x:c r="I14" s="29"/>
      <x:c r="K14" s="64" t="e">
        <x:f>[2]EB1!$B$6</x:f>
        <x:v>#NAME?</x:v>
      </x:c>
      <x:c r="M14" s="2" t="s">
        <x:v>179</x:v>
      </x:c>
      <x:c r="N14" s="21"/>
      <x:c r="O14" s="64" t="str">
        <x:f t="shared" si="0"/>
        <x:v>PJ</x:v>
      </x:c>
      <x:c r="U14" s="23">
        <x:v>20.8</x:v>
      </x:c>
    </x:row>
    <x:row r="15">
      <x:c r="B15" s="2" t="s">
        <x:v>181</x:v>
      </x:c>
      <x:c r="C15" s="2"/>
      <x:c r="D15" s="2" t="s">
        <x:v>182</x:v>
      </x:c>
      <x:c r="E15" s="2">
        <x:v>2022</x:v>
      </x:c>
      <x:c r="F15" s="2"/>
      <x:c r="H15" s="23">
        <x:v>12.6</x:v>
      </x:c>
      <x:c r="I15" s="29"/>
      <x:c r="K15" s="64" t="e">
        <x:f>[2]EB1!$B$6</x:f>
        <x:v>#NAME?</x:v>
      </x:c>
      <x:c r="M15" s="2" t="s">
        <x:v>181</x:v>
      </x:c>
      <x:c r="N15" s="21"/>
      <x:c r="O15" s="64" t="str">
        <x:f t="shared" si="0"/>
        <x:v>PJ</x:v>
      </x:c>
      <x:c r="U15" s="23">
        <x:v>12.6</x:v>
      </x:c>
    </x:row>
    <x:row r="16">
      <x:c r="B16" s="2" t="s">
        <x:v>183</x:v>
      </x:c>
      <x:c r="C16" s="2"/>
      <x:c r="D16" t="s">
        <x:v>184</x:v>
      </x:c>
      <x:c r="E16" s="2">
        <x:v>2022</x:v>
      </x:c>
      <x:c r="F16" s="2"/>
      <x:c r="G16" s="2"/>
      <x:c r="H16" s="23">
        <x:v>13.5</x:v>
      </x:c>
      <x:c r="I16" s="42"/>
      <x:c r="K16" s="64" t="e">
        <x:f>[2]EB1!$B$6</x:f>
        <x:v>#NAME?</x:v>
      </x:c>
      <x:c r="M16" s="2" t="s">
        <x:v>183</x:v>
      </x:c>
      <x:c r="O16" s="64" t="str">
        <x:f t="shared" si="0"/>
        <x:v>PJ</x:v>
      </x:c>
      <x:c r="U16" s="23">
        <x:v>13.5</x:v>
      </x:c>
    </x:row>
    <x:row r="17">
      <x:c r="B17" s="2" t="s">
        <x:v>185</x:v>
      </x:c>
      <x:c r="D17" t="s">
        <x:v>186</x:v>
      </x:c>
      <x:c r="E17" s="2">
        <x:v>2022</x:v>
      </x:c>
      <x:c r="H17" s="23">
        <x:v>14.5</x:v>
      </x:c>
      <x:c r="K17" s="64" t="e">
        <x:f>[2]EB1!$B$6</x:f>
        <x:v>#NAME?</x:v>
      </x:c>
      <x:c r="M17" s="2" t="s">
        <x:v>185</x:v>
      </x:c>
      <x:c r="O17" s="64" t="str">
        <x:f t="shared" si="0"/>
        <x:v>PJ</x:v>
      </x:c>
      <x:c r="U17" s="23">
        <x:v>14.5</x:v>
      </x:c>
    </x:row>
    <x:row r="18">
      <x:c r="B18" s="59" t="s">
        <x:v>187</x:v>
      </x:c>
      <x:c r="D18" t="s">
        <x:v>8</x:v>
      </x:c>
      <x:c r="E18" s="2">
        <x:v>2022</x:v>
      </x:c>
      <x:c r="H18" s="81">
        <x:v>35.75</x:v>
      </x:c>
      <x:c r="I18">
        <x:v>8.91</x:v>
      </x:c>
      <x:c r="K18" s="64" t="e">
        <x:f>[2]EB1!$B$6</x:f>
        <x:v>#NAME?</x:v>
      </x:c>
      <x:c r="M18" s="59" t="s">
        <x:v>187</x:v>
      </x:c>
      <x:c r="O18" s="64" t="str">
        <x:f t="shared" si="0"/>
        <x:v>PJ</x:v>
      </x:c>
    </x:row>
    <x:row r="19">
      <x:c r="B19" s="2" t="s">
        <x:v>188</x:v>
      </x:c>
      <x:c r="D19" t="s">
        <x:v>8</x:v>
      </x:c>
      <x:c r="E19">
        <x:v>2026</x:v>
      </x:c>
      <x:c r="H19">
        <x:v>22.05</x:v>
      </x:c>
      <x:c r="I19" s="79">
        <x:v>2.6490239999999998</x:v>
      </x:c>
      <x:c r="K19" s="64" t="e">
        <x:f>[2]EB1!$B$6</x:f>
        <x:v>#NAME?</x:v>
      </x:c>
      <x:c r="M19" s="2" t="s">
        <x:v>188</x:v>
      </x:c>
      <x:c r="O19" s="64" t="str">
        <x:f t="shared" si="0"/>
        <x:v>PJ</x:v>
      </x:c>
    </x:row>
    <x:row r="20">
      <x:c r="B20" s="2" t="s">
        <x:v>189</x:v>
      </x:c>
      <x:c r="D20" t="s">
        <x:v>8</x:v>
      </x:c>
      <x:c r="E20">
        <x:v>2028</x:v>
      </x:c>
      <x:c r="H20">
        <x:v>21.39</x:v>
      </x:c>
      <x:c r="I20">
        <x:v>14.19</x:v>
      </x:c>
      <x:c r="K20" s="64" t="e">
        <x:f>[2]EB1!$B$6</x:f>
        <x:v>#NAME?</x:v>
      </x:c>
      <x:c r="M20" s="2" t="s">
        <x:v>189</x:v>
      </x:c>
      <x:c r="O20" s="64" t="str">
        <x:f t="shared" si="0"/>
        <x:v>PJ</x:v>
      </x:c>
    </x:row>
    <x:row r="21">
      <x:c r="A21" s="2"/>
      <x:c r="B21" s="2" t="s">
        <x:v>190</x:v>
      </x:c>
      <x:c r="D21" t="s">
        <x:v>8</x:v>
      </x:c>
      <x:c r="E21">
        <x:v>2029</x:v>
      </x:c>
      <x:c r="H21">
        <x:v>21.39</x:v>
      </x:c>
      <x:c r="I21">
        <x:v>14.19</x:v>
      </x:c>
      <x:c r="K21" s="64" t="e">
        <x:f>[2]EB1!$B$6</x:f>
        <x:v>#NAME?</x:v>
      </x:c>
      <x:c r="M21" s="2" t="s">
        <x:v>190</x:v>
      </x:c>
      <x:c r="O21" s="64" t="str">
        <x:f t="shared" si="0"/>
        <x:v>PJ</x:v>
      </x:c>
    </x:row>
    <x:row r="24">
      <x:c r="B24" s="43"/>
      <x:c r="C24" s="2"/>
      <x:c r="K24" s="2" t="s">
        <x:v>191</x:v>
      </x:c>
      <x:c r="L24" s="2" t="s">
        <x:v>192</x:v>
      </x:c>
      <x:c r="M24" s="2" t="s">
        <x:v>11</x:v>
      </x:c>
      <x:c r="N24" s="2" t="s">
        <x:v>193</x:v>
      </x:c>
      <x:c r="O24" s="2" t="s">
        <x:v>194</x:v>
      </x:c>
      <x:c r="P24" s="2" t="s">
        <x:v>195</x:v>
      </x:c>
      <x:c r="Q24" s="2" t="s">
        <x:v>196</x:v>
      </x:c>
    </x:row>
    <x:row r="25">
      <x:c r="C25" s="2"/>
      <x:c r="K25" s="79">
        <x:v>168</x:v>
      </x:c>
      <x:c r="L25" s="79" t="n">
        <x:f>K25*24*365*0.5</x:f>
        <x:v>735840</x:v>
      </x:c>
      <x:c r="M25" s="79" t="n">
        <x:f>L25*N25</x:f>
        <x:v>2.649024</x:v>
      </x:c>
      <x:c r="N25" s="2">
        <x:v>3.5999999999999998E-6</x:v>
      </x:c>
      <x:c r="O25">
        <x:v>7.9399999999999998E-2</x:v>
      </x:c>
      <x:c r="P25" s="80" t="n">
        <x:f>L25*O25*10^3</x:f>
        <x:v>58425696</x:v>
      </x:c>
      <x:c r="Q25" s="79" t="n">
        <x:f>P25/M25</x:f>
        <x:v>22055555.555555556</x:v>
      </x:c>
    </x:row>
    <x:row r="26">
      <x:c r="K26" s="79">
        <x:v>900</x:v>
      </x:c>
      <x:c r="L26" s="79" t="n">
        <x:f>K26*24*365*0.5</x:f>
        <x:v>3942000</x:v>
      </x:c>
      <x:c r="M26" s="79" t="n">
        <x:f>L26*N26</x:f>
        <x:v>14.191199999999998</x:v>
      </x:c>
      <x:c r="N26" s="2">
        <x:v>3.5999999999999998E-6</x:v>
      </x:c>
      <x:c r="O26">
        <x:v>7.6999999999999999E-2</x:v>
      </x:c>
      <x:c r="P26" s="80" t="n">
        <x:f>L26*O26*10^3</x:f>
        <x:v>303534000</x:v>
      </x:c>
      <x:c r="Q26" s="79" t="n">
        <x:f>P26/M26</x:f>
        <x:v>21388888.88888889</x:v>
      </x:c>
    </x:row>
  </x:sheetData>
  <x:pageMargins left="0.7" right="0.7" top="0.75" bottom="0.75" header="0.3" footer="0.3"/>
  <x:legacyDrawing xmlns:r="http://schemas.openxmlformats.org/officeDocument/2006/relationships" r:id="R31546623b4084690"/>
</x:worksheet>
</file>

<file path=xl/worksheets/sheet4.xml><?xml version="1.0" encoding="utf-8"?>
<x:worksheet xmlns:x="http://schemas.openxmlformats.org/spreadsheetml/2006/main">
  <x:sheetFormatPr defaultRowHeight="13.199999809265137"/>
  <x:cols>
    <x:col min="1" max="1" width="3" customWidth="1"/>
    <x:col min="2" max="2" width="12.33203125" customWidth="1"/>
    <x:col min="3" max="3" width="12.44140625" customWidth="1"/>
    <x:col min="4" max="4" width="22.88671875" customWidth="1"/>
    <x:col min="5" max="5" width="13.6640625" customWidth="1"/>
    <x:col min="6" max="6" width="13.109375" customWidth="1"/>
    <x:col min="7" max="7" width="8.109375" customWidth="1"/>
    <x:col min="8" max="8" width="13.44140625" customWidth="1"/>
    <x:col min="9" max="9" width="10" customWidth="1"/>
    <x:col min="10" max="10" width="9.6640625" customWidth="1"/>
    <x:col min="11" max="11" width="8.88671875" customWidth="1"/>
    <x:col min="12" max="12" width="2" customWidth="1"/>
    <x:col min="13" max="13" width="13" customWidth="1"/>
    <x:col min="14" max="14" width="7.109375" customWidth="1"/>
    <x:col min="15" max="15" width="13" customWidth="1"/>
    <x:col min="16" max="16" width="75" customWidth="1"/>
    <x:col min="17" max="17" width="6.44140625" customWidth="1"/>
    <x:col min="18" max="18" width="11.109375" customWidth="1"/>
    <x:col min="19" max="19" width="13.5546875" customWidth="1"/>
    <x:col min="20" max="20" width="13.88671875" customWidth="1"/>
    <x:col min="21" max="21" width="8.6640625" customWidth="1"/>
  </x:cols>
  <x:sheetData>
    <x:row r="1" ht="22.799999237060547">
      <x:c r="A1" s="1" t="s">
        <x:v>0</x:v>
      </x:c>
    </x:row>
    <x:row r="3" ht="14.399999618530273">
      <x:c r="B3" s="8" t="s">
        <x:v>1</x:v>
      </x:c>
      <x:c r="C3" s="8" t="s">
        <x:v>2</x:v>
      </x:c>
      <x:c r="D3" s="8" t="s">
        <x:v>3</x:v>
      </x:c>
      <x:c r="E3" s="22" t="s">
        <x:v>4</x:v>
      </x:c>
      <x:c r="F3" s="22" t="s">
        <x:v>5</x:v>
      </x:c>
      <x:c r="H3" s="8" t="s">
        <x:v>6</x:v>
      </x:c>
      <x:c r="I3" s="8" t="s">
        <x:v>7</x:v>
      </x:c>
    </x:row>
    <x:row r="4" ht="15.600000381469727">
      <x:c r="B4" s="9" t="s">
        <x:v>197</x:v>
      </x:c>
      <x:c r="C4" s="9" t="s">
        <x:v>198</x:v>
      </x:c>
      <x:c r="D4" s="14" t="s">
        <x:v>199</x:v>
      </x:c>
      <x:c r="E4" s="9" t="s">
        <x:v>11</x:v>
      </x:c>
      <x:c r="F4" s="9" t="s">
        <x:v>124</x:v>
      </x:c>
      <x:c r="H4" s="9" t="s">
        <x:v>13</x:v>
      </x:c>
      <x:c r="I4" s="9" t="s">
        <x:v>14</x:v>
      </x:c>
    </x:row>
    <x:row r="5" ht="15.600000381469727">
      <x:c r="B5" s="9" t="s">
        <x:v>200</x:v>
      </x:c>
      <x:c r="C5" s="9" t="s">
        <x:v>201</x:v>
      </x:c>
      <x:c r="D5" s="14" t="s">
        <x:v>199</x:v>
      </x:c>
      <x:c r="E5" s="9" t="s">
        <x:v>11</x:v>
      </x:c>
      <x:c r="F5" s="9" t="s">
        <x:v>12</x:v>
      </x:c>
      <x:c r="H5" s="9" t="s">
        <x:v>13</x:v>
      </x:c>
      <x:c r="I5" s="9" t="s">
        <x:v>14</x:v>
      </x:c>
      <x:c r="M5" s="58" t="s">
        <x:v>15</x:v>
      </x:c>
      <x:c r="N5" s="58"/>
      <x:c r="O5" s="59"/>
      <x:c r="P5" s="59"/>
      <x:c r="Q5" s="59"/>
      <x:c r="R5" s="59"/>
      <x:c r="S5" s="59"/>
      <x:c r="T5" s="59"/>
      <x:c r="U5" s="59"/>
    </x:row>
    <x:row r="6" ht="15.600000381469727">
      <x:c r="B6" s="9" t="s">
        <x:v>202</x:v>
      </x:c>
      <x:c r="C6" s="9" t="s">
        <x:v>203</x:v>
      </x:c>
      <x:c r="D6" s="14" t="s">
        <x:v>199</x:v>
      </x:c>
      <x:c r="E6" s="9" t="s">
        <x:v>11</x:v>
      </x:c>
      <x:c r="F6" s="9" t="s">
        <x:v>12</x:v>
      </x:c>
      <x:c r="H6" s="9" t="s">
        <x:v>13</x:v>
      </x:c>
      <x:c r="I6" s="9" t="s">
        <x:v>14</x:v>
      </x:c>
      <x:c r="M6" s="60" t="s">
        <x:v>16</x:v>
      </x:c>
      <x:c r="N6" s="61" t="s">
        <x:v>17</x:v>
      </x:c>
      <x:c r="O6" s="60" t="s">
        <x:v>18</x:v>
      </x:c>
      <x:c r="P6" s="60" t="s">
        <x:v>19</x:v>
      </x:c>
      <x:c r="Q6" s="60" t="s">
        <x:v>20</x:v>
      </x:c>
      <x:c r="R6" s="60" t="s">
        <x:v>21</x:v>
      </x:c>
      <x:c r="S6" s="60" t="s">
        <x:v>22</x:v>
      </x:c>
      <x:c r="T6" s="60" t="s">
        <x:v>23</x:v>
      </x:c>
      <x:c r="U6" s="60" t="s">
        <x:v>24</x:v>
      </x:c>
    </x:row>
    <x:row r="7" ht="22.200000762939453">
      <x:c r="B7" s="31"/>
      <x:c r="C7" s="31"/>
      <x:c r="D7" s="31"/>
      <x:c r="E7" s="31"/>
      <x:c r="F7" s="31"/>
      <x:c r="M7" s="62" t="s">
        <x:v>31</x:v>
      </x:c>
      <x:c r="N7" s="62" t="s">
        <x:v>32</x:v>
      </x:c>
      <x:c r="O7" s="62" t="s">
        <x:v>33</x:v>
      </x:c>
      <x:c r="P7" s="62" t="s">
        <x:v>34</x:v>
      </x:c>
      <x:c r="Q7" s="62" t="s">
        <x:v>20</x:v>
      </x:c>
      <x:c r="R7" s="62" t="s">
        <x:v>35</x:v>
      </x:c>
      <x:c r="S7" s="62" t="s">
        <x:v>36</x:v>
      </x:c>
      <x:c r="T7" s="62" t="s">
        <x:v>37</x:v>
      </x:c>
      <x:c r="U7" s="62" t="s">
        <x:v>38</x:v>
      </x:c>
    </x:row>
    <x:row r="8" ht="15.600000381469727">
      <x:c r="B8" s="31"/>
      <x:c r="C8" s="31"/>
      <x:c r="D8" s="31"/>
      <x:c r="E8" s="31"/>
      <x:c r="F8" s="31"/>
      <x:c r="M8" s="2" t="s">
        <x:v>125</x:v>
      </x:c>
      <x:c r="O8" s="2" t="s">
        <x:v>8</x:v>
      </x:c>
      <x:c r="P8" s="2"/>
      <x:c r="Q8" s="2" t="s">
        <x:v>11</x:v>
      </x:c>
      <x:c r="R8" t="s">
        <x:v>126</x:v>
      </x:c>
      <x:c r="S8" t="s">
        <x:v>95</x:v>
      </x:c>
      <x:c r="T8" s="2"/>
      <x:c r="U8" s="2" t="s">
        <x:v>8</x:v>
      </x:c>
    </x:row>
    <x:row r="9" ht="15.600000381469727">
      <x:c r="B9" s="31"/>
      <x:c r="C9" s="31"/>
      <x:c r="D9" s="31"/>
      <x:c r="E9" s="31"/>
      <x:c r="F9" s="31"/>
      <x:c r="M9" s="2" t="s">
        <x:v>127</x:v>
      </x:c>
      <x:c r="O9" s="2" t="s">
        <x:v>128</x:v>
      </x:c>
      <x:c r="P9" s="2"/>
      <x:c r="Q9" s="2" t="s">
        <x:v>129</x:v>
      </x:c>
      <x:c r="R9" s="2"/>
      <x:c r="S9" t="s">
        <x:v>130</x:v>
      </x:c>
      <x:c r="T9" s="2"/>
      <x:c r="U9" s="2"/>
    </x:row>
    <x:row r="10" ht="15.600000381469727">
      <x:c r="B10" s="31"/>
      <x:c r="C10" s="31"/>
      <x:c r="D10" s="31"/>
      <x:c r="E10" s="31"/>
      <x:c r="F10" s="31"/>
      <x:c r="M10" s="2"/>
      <x:c r="O10" s="2"/>
      <x:c r="P10" s="2"/>
      <x:c r="Q10" s="2"/>
      <x:c r="R10" s="2"/>
      <x:c r="S10" s="2"/>
      <x:c r="T10" s="2"/>
      <x:c r="U10" s="2"/>
    </x:row>
    <x:row r="13">
      <x:c r="B13" s="6" t="s">
        <x:v>44</x:v>
      </x:c>
      <x:c r="C13" s="6"/>
      <x:c r="D13" s="6"/>
      <x:c r="E13" s="6"/>
      <x:c r="G13" s="6"/>
      <x:c r="H13" s="6"/>
      <x:c r="I13" s="7"/>
      <x:c r="J13" s="5"/>
      <x:c r="K13" s="32"/>
      <x:c r="M13" s="58" t="s">
        <x:v>45</x:v>
      </x:c>
      <x:c r="N13" s="58"/>
      <x:c r="O13" s="64"/>
      <x:c r="P13" s="64"/>
      <x:c r="Q13" s="64"/>
      <x:c r="R13" s="64"/>
      <x:c r="S13" s="64"/>
      <x:c r="T13" s="64"/>
      <x:c r="U13" s="64"/>
    </x:row>
    <x:row r="14">
      <x:c r="B14" s="12" t="s">
        <x:v>46</x:v>
      </x:c>
      <x:c r="C14" s="12" t="s">
        <x:v>47</x:v>
      </x:c>
      <x:c r="D14" s="12" t="s">
        <x:v>48</x:v>
      </x:c>
      <x:c r="E14" s="15" t="s">
        <x:v>50</x:v>
      </x:c>
      <x:c r="F14" s="16" t="s">
        <x:v>51</x:v>
      </x:c>
      <x:c r="G14" s="16" t="s">
        <x:v>52</x:v>
      </x:c>
      <x:c r="H14" s="44" t="s">
        <x:v>57</x:v>
      </x:c>
      <x:c r="I14" s="16" t="s">
        <x:v>53</x:v>
      </x:c>
      <x:c r="J14" s="16" t="s">
        <x:v>54</x:v>
      </x:c>
      <x:c r="K14" s="15" t="s">
        <x:v>56</x:v>
      </x:c>
      <x:c r="M14" s="60" t="s">
        <x:v>59</x:v>
      </x:c>
      <x:c r="N14" s="61" t="s">
        <x:v>17</x:v>
      </x:c>
      <x:c r="O14" s="60" t="s">
        <x:v>46</x:v>
      </x:c>
      <x:c r="P14" s="60" t="s">
        <x:v>60</x:v>
      </x:c>
      <x:c r="Q14" s="60" t="s">
        <x:v>61</x:v>
      </x:c>
      <x:c r="R14" s="60" t="s">
        <x:v>62</x:v>
      </x:c>
      <x:c r="S14" s="60" t="s">
        <x:v>63</x:v>
      </x:c>
      <x:c r="T14" s="60" t="s">
        <x:v>64</x:v>
      </x:c>
      <x:c r="U14" s="60" t="s">
        <x:v>65</x:v>
      </x:c>
    </x:row>
    <x:row r="15" ht="21.600000381469727">
      <x:c r="B15" s="11" t="s">
        <x:v>66</x:v>
      </x:c>
      <x:c r="C15" s="11" t="s">
        <x:v>67</x:v>
      </x:c>
      <x:c r="D15" s="11" t="s">
        <x:v>68</x:v>
      </x:c>
      <x:c r="E15" s="17"/>
      <x:c r="F15" s="17" t="s">
        <x:v>69</x:v>
      </x:c>
      <x:c r="G15" s="18" t="s">
        <x:v>70</x:v>
      </x:c>
      <x:c r="H15" s="18" t="s">
        <x:v>75</x:v>
      </x:c>
      <x:c r="I15" s="17" t="s">
        <x:v>71</x:v>
      </x:c>
      <x:c r="J15" s="17" t="s">
        <x:v>72</x:v>
      </x:c>
      <x:c r="K15" s="17" t="s">
        <x:v>74</x:v>
      </x:c>
      <x:c r="M15" s="62" t="s">
        <x:v>77</x:v>
      </x:c>
      <x:c r="N15" s="62" t="s">
        <x:v>32</x:v>
      </x:c>
      <x:c r="O15" s="62" t="s">
        <x:v>78</x:v>
      </x:c>
      <x:c r="P15" s="62" t="s">
        <x:v>79</x:v>
      </x:c>
      <x:c r="Q15" s="62" t="s">
        <x:v>4</x:v>
      </x:c>
      <x:c r="R15" s="62" t="s">
        <x:v>80</x:v>
      </x:c>
      <x:c r="S15" s="62" t="s">
        <x:v>81</x:v>
      </x:c>
      <x:c r="T15" s="62" t="s">
        <x:v>82</x:v>
      </x:c>
      <x:c r="U15" s="62" t="s">
        <x:v>83</x:v>
      </x:c>
    </x:row>
    <x:row r="16" ht="21.600000381469727">
      <x:c r="B16" s="10" t="s">
        <x:v>84</x:v>
      </x:c>
      <x:c r="C16" s="10"/>
      <x:c r="D16" s="10"/>
      <x:c r="E16" s="19"/>
      <x:c r="F16" s="19"/>
      <x:c r="G16" s="20"/>
      <x:c r="H16" s="45" t="s">
        <x:v>131</x:v>
      </x:c>
      <x:c r="I16" s="19" t="s">
        <x:v>132</x:v>
      </x:c>
      <x:c r="J16" s="19" t="s">
        <x:v>133</x:v>
      </x:c>
      <x:c r="K16" s="19" t="s">
        <x:v>88</x:v>
      </x:c>
      <x:c r="M16" s="62" t="s">
        <x:v>90</x:v>
      </x:c>
      <x:c r="N16" s="62"/>
      <x:c r="O16" s="62"/>
      <x:c r="P16" s="62"/>
      <x:c r="Q16" s="62"/>
      <x:c r="R16" s="62"/>
      <x:c r="S16" s="62"/>
      <x:c r="T16" s="62"/>
      <x:c r="U16" s="62"/>
    </x:row>
    <x:row r="17">
      <x:c r="B17" s="2" t="str">
        <x:f>O17</x:f>
        <x:v>CSCNSOL1</x:v>
      </x:c>
      <x:c r="C17" s="2" t="s">
        <x:v>204</x:v>
      </x:c>
      <x:c r="D17" s="2" t="s">
        <x:v>205</x:v>
      </x:c>
      <x:c r="E17" s="29">
        <x:v>2022</x:v>
      </x:c>
      <x:c r="F17" s="30">
        <x:v>0.35</x:v>
      </x:c>
      <x:c r="G17" s="30">
        <x:v>0.3</x:v>
      </x:c>
      <x:c r="H17">
        <x:v>31.536000000000001</x:v>
      </x:c>
      <x:c r="I17" s="23">
        <x:v>700</x:v>
      </x:c>
      <x:c r="J17" s="29">
        <x:v>12</x:v>
      </x:c>
      <x:c r="K17">
        <x:v>15</x:v>
      </x:c>
      <x:c r="M17" s="59" t="s">
        <x:v>136</x:v>
      </x:c>
      <x:c r="N17" s="64"/>
      <x:c r="O17" s="64" t="s">
        <x:v>206</x:v>
      </x:c>
      <x:c r="P17" s="59" t="s">
        <x:v>207</x:v>
      </x:c>
      <x:c r="Q17" s="64" t="s">
        <x:v>11</x:v>
      </x:c>
      <x:c r="R17" s="64" t="s">
        <x:v>12</x:v>
      </x:c>
      <x:c r="S17" s="59" t="s">
        <x:v>95</x:v>
      </x:c>
      <x:c r="T17" s="64"/>
      <x:c r="U17" s="64"/>
    </x:row>
    <x:row r="18">
      <x:c r="B18" s="2" t="str">
        <x:f t="shared" ref="B18:B27" si="0">O18</x:f>
        <x:v>CSCNELC1</x:v>
      </x:c>
      <x:c r="C18" s="54" t="s">
        <x:v>208</x:v>
      </x:c>
      <x:c r="D18" s="54" t="s">
        <x:v>205</x:v>
      </x:c>
      <x:c r="E18" s="29">
        <x:v>2022</x:v>
      </x:c>
      <x:c r="F18" s="30">
        <x:v>1</x:v>
      </x:c>
      <x:c r="G18" s="30">
        <x:v>0.3</x:v>
      </x:c>
      <x:c r="H18">
        <x:v>31.536000000000001</x:v>
      </x:c>
      <x:c r="I18" s="46">
        <x:v>550</x:v>
      </x:c>
      <x:c r="J18" s="51">
        <x:v>12</x:v>
      </x:c>
      <x:c r="K18">
        <x:v>20</x:v>
      </x:c>
      <x:c r="M18" s="59" t="s">
        <x:v>136</x:v>
      </x:c>
      <x:c r="N18" s="64"/>
      <x:c r="O18" s="64" t="s">
        <x:v>209</x:v>
      </x:c>
      <x:c r="P18" s="59" t="s">
        <x:v>210</x:v>
      </x:c>
      <x:c r="Q18" s="64" t="s">
        <x:v>11</x:v>
      </x:c>
      <x:c r="R18" s="64" t="s">
        <x:v>12</x:v>
      </x:c>
      <x:c r="S18" s="59" t="s">
        <x:v>95</x:v>
      </x:c>
      <x:c r="T18" s="64"/>
      <x:c r="U18" s="64"/>
    </x:row>
    <x:row r="19">
      <x:c r="B19" s="47" t="str">
        <x:f t="shared" si="0"/>
        <x:v>CAPNELC1</x:v>
      </x:c>
      <x:c r="C19" s="47" t="s">
        <x:v>208</x:v>
      </x:c>
      <x:c r="D19" s="47" t="s">
        <x:v>211</x:v>
      </x:c>
      <x:c r="E19" s="29">
        <x:v>2022</x:v>
      </x:c>
      <x:c r="F19" s="47">
        <x:v>1.02</x:v>
      </x:c>
      <x:c r="G19" s="48">
        <x:v>0.3</x:v>
      </x:c>
      <x:c r="H19" s="47">
        <x:v>31.536000000000001</x:v>
      </x:c>
      <x:c r="I19" s="48">
        <x:v>0.5</x:v>
      </x:c>
      <x:c r="J19" s="47"/>
      <x:c r="K19" s="47">
        <x:v>5</x:v>
      </x:c>
      <x:c r="M19" s="59" t="s">
        <x:v>136</x:v>
      </x:c>
      <x:c r="N19" s="64"/>
      <x:c r="O19" s="64" t="s">
        <x:v>212</x:v>
      </x:c>
      <x:c r="P19" s="59" t="s">
        <x:v>213</x:v>
      </x:c>
      <x:c r="Q19" s="64" t="s">
        <x:v>11</x:v>
      </x:c>
      <x:c r="R19" s="64" t="s">
        <x:v>139</x:v>
      </x:c>
      <x:c r="S19" s="64"/>
      <x:c r="T19" s="64"/>
      <x:c r="U19" s="64"/>
    </x:row>
    <x:row r="20">
      <x:c r="B20" t="str">
        <x:f t="shared" si="0"/>
        <x:v>COTNOIL1</x:v>
      </x:c>
      <x:c r="C20" t="s">
        <x:v>214</x:v>
      </x:c>
      <x:c r="D20" t="s">
        <x:v>215</x:v>
      </x:c>
      <x:c r="E20" s="29">
        <x:v>2022</x:v>
      </x:c>
      <x:c r="F20">
        <x:v>1.02</x:v>
      </x:c>
      <x:c r="G20" s="30">
        <x:v>0.3</x:v>
      </x:c>
      <x:c r="H20">
        <x:v>31.536000000000001</x:v>
      </x:c>
      <x:c r="I20" s="30">
        <x:v>0.3</x:v>
      </x:c>
      <x:c r="K20">
        <x:v>15</x:v>
      </x:c>
      <x:c r="M20" s="59" t="s">
        <x:v>136</x:v>
      </x:c>
      <x:c r="N20" s="64"/>
      <x:c r="O20" s="64" t="s">
        <x:v>216</x:v>
      </x:c>
      <x:c r="P20" s="59" t="s">
        <x:v>217</x:v>
      </x:c>
      <x:c r="Q20" s="64" t="s">
        <x:v>11</x:v>
      </x:c>
      <x:c r="R20" s="64" t="s">
        <x:v>139</x:v>
      </x:c>
      <x:c r="S20" s="64"/>
      <x:c r="T20" s="64"/>
      <x:c r="U20" s="64"/>
    </x:row>
    <x:row r="21" ht="13.800000190734863">
      <x:c r="B21" s="52" t="str">
        <x:f t="shared" si="0"/>
        <x:v>COTNELC1</x:v>
      </x:c>
      <x:c r="C21" s="52" t="s">
        <x:v>208</x:v>
      </x:c>
      <x:c r="D21" s="52" t="s">
        <x:v>215</x:v>
      </x:c>
      <x:c r="E21" s="29">
        <x:v>2022</x:v>
      </x:c>
      <x:c r="F21" s="52">
        <x:v>1.05</x:v>
      </x:c>
      <x:c r="G21" s="53">
        <x:v>0.3</x:v>
      </x:c>
      <x:c r="H21" s="52">
        <x:v>31.536000000000001</x:v>
      </x:c>
      <x:c r="I21" s="53">
        <x:v>0.75</x:v>
      </x:c>
      <x:c r="J21" s="52"/>
      <x:c r="K21" s="52">
        <x:v>15</x:v>
      </x:c>
      <x:c r="M21" s="59" t="s">
        <x:v>136</x:v>
      </x:c>
      <x:c r="N21" s="66"/>
      <x:c r="O21" s="66" t="s">
        <x:v>218</x:v>
      </x:c>
      <x:c r="P21" s="67" t="s">
        <x:v>219</x:v>
      </x:c>
      <x:c r="Q21" s="66" t="s">
        <x:v>11</x:v>
      </x:c>
      <x:c r="R21" s="66" t="s">
        <x:v>139</x:v>
      </x:c>
      <x:c r="S21" s="59" t="s">
        <x:v>95</x:v>
      </x:c>
      <x:c r="T21" s="66"/>
      <x:c r="U21" s="66"/>
    </x:row>
    <x:row r="22">
      <x:c r="B22" t="str">
        <x:f>O22</x:f>
        <x:v>RSCNSOL1</x:v>
      </x:c>
      <x:c r="C22" t="s">
        <x:v>220</x:v>
      </x:c>
      <x:c r="D22" t="s">
        <x:v>221</x:v>
      </x:c>
      <x:c r="E22" s="29">
        <x:v>2022</x:v>
      </x:c>
      <x:c r="F22" s="30">
        <x:v>0.35</x:v>
      </x:c>
      <x:c r="G22" s="30">
        <x:v>0.3</x:v>
      </x:c>
      <x:c r="H22" s="38">
        <x:v>31.536000000000001</x:v>
      </x:c>
      <x:c r="I22" s="23">
        <x:v>700</x:v>
      </x:c>
      <x:c r="J22" s="29">
        <x:v>14</x:v>
      </x:c>
      <x:c r="K22">
        <x:v>15</x:v>
      </x:c>
      <x:c r="L22" s="2"/>
      <x:c r="M22" s="59" t="s">
        <x:v>136</x:v>
      </x:c>
      <x:c r="N22" s="64"/>
      <x:c r="O22" s="59" t="s">
        <x:v>222</x:v>
      </x:c>
      <x:c r="P22" s="59" t="s">
        <x:v>223</x:v>
      </x:c>
      <x:c r="Q22" s="64" t="s">
        <x:v>11</x:v>
      </x:c>
      <x:c r="R22" s="64" t="s">
        <x:v>12</x:v>
      </x:c>
      <x:c r="S22" s="64"/>
      <x:c r="T22" s="64"/>
      <x:c r="U22" s="64"/>
    </x:row>
    <x:row r="23">
      <x:c r="B23" t="str">
        <x:f t="shared" si="0"/>
        <x:v>RSCNELC1</x:v>
      </x:c>
      <x:c r="C23" s="46" t="s">
        <x:v>224</x:v>
      </x:c>
      <x:c r="D23" s="46" t="s">
        <x:v>221</x:v>
      </x:c>
      <x:c r="E23" s="29">
        <x:v>2022</x:v>
      </x:c>
      <x:c r="F23" s="30">
        <x:v>0.96</x:v>
      </x:c>
      <x:c r="G23" s="30">
        <x:v>0.3</x:v>
      </x:c>
      <x:c r="H23" s="38">
        <x:v>31.536000000000001</x:v>
      </x:c>
      <x:c r="I23" s="46">
        <x:v>550</x:v>
      </x:c>
      <x:c r="J23" s="51">
        <x:v>11</x:v>
      </x:c>
      <x:c r="K23">
        <x:v>20</x:v>
      </x:c>
      <x:c r="L23" s="2"/>
      <x:c r="M23" s="59" t="s">
        <x:v>136</x:v>
      </x:c>
      <x:c r="N23" s="64"/>
      <x:c r="O23" s="59" t="s">
        <x:v>225</x:v>
      </x:c>
      <x:c r="P23" s="59" t="s">
        <x:v>226</x:v>
      </x:c>
      <x:c r="Q23" s="64" t="s">
        <x:v>11</x:v>
      </x:c>
      <x:c r="R23" s="64" t="s">
        <x:v>12</x:v>
      </x:c>
      <x:c r="S23" s="64"/>
      <x:c r="T23" s="64"/>
      <x:c r="U23" s="64"/>
    </x:row>
    <x:row r="24">
      <x:c r="B24" s="47" t="str">
        <x:f t="shared" si="0"/>
        <x:v>RAPNELC1</x:v>
      </x:c>
      <x:c r="C24" s="47" t="s">
        <x:v>224</x:v>
      </x:c>
      <x:c r="D24" s="47" t="s">
        <x:v>227</x:v>
      </x:c>
      <x:c r="E24" s="29">
        <x:v>2022</x:v>
      </x:c>
      <x:c r="F24" s="47">
        <x:v>1.02</x:v>
      </x:c>
      <x:c r="G24" s="48">
        <x:v>0.3</x:v>
      </x:c>
      <x:c r="H24" s="76">
        <x:v>31.536000000000001</x:v>
      </x:c>
      <x:c r="I24" s="48">
        <x:v>0.5</x:v>
      </x:c>
      <x:c r="J24" s="47"/>
      <x:c r="K24" s="47">
        <x:v>5</x:v>
      </x:c>
      <x:c r="M24" s="59" t="s">
        <x:v>136</x:v>
      </x:c>
      <x:c r="N24" s="64"/>
      <x:c r="O24" s="59" t="s">
        <x:v>228</x:v>
      </x:c>
      <x:c r="P24" s="59" t="s">
        <x:v>229</x:v>
      </x:c>
      <x:c r="Q24" s="64" t="s">
        <x:v>11</x:v>
      </x:c>
      <x:c r="R24" s="64" t="s">
        <x:v>139</x:v>
      </x:c>
      <x:c r="S24" s="59" t="s">
        <x:v>95</x:v>
      </x:c>
      <x:c r="T24" s="64"/>
      <x:c r="U24" s="64"/>
    </x:row>
    <x:row r="25">
      <x:c r="B25" t="str">
        <x:f t="shared" si="0"/>
        <x:v>ROTNOIL1</x:v>
      </x:c>
      <x:c r="C25" t="s">
        <x:v>230</x:v>
      </x:c>
      <x:c r="D25" t="s">
        <x:v>231</x:v>
      </x:c>
      <x:c r="E25" s="29">
        <x:v>2022</x:v>
      </x:c>
      <x:c r="F25">
        <x:v>1.02</x:v>
      </x:c>
      <x:c r="G25" s="30">
        <x:v>0.3</x:v>
      </x:c>
      <x:c r="H25" s="38">
        <x:v>31.536000000000001</x:v>
      </x:c>
      <x:c r="I25" s="30">
        <x:v>0.3</x:v>
      </x:c>
      <x:c r="K25">
        <x:v>15</x:v>
      </x:c>
      <x:c r="M25" s="59" t="s">
        <x:v>136</x:v>
      </x:c>
      <x:c r="N25" s="64"/>
      <x:c r="O25" s="59" t="s">
        <x:v>232</x:v>
      </x:c>
      <x:c r="P25" s="59" t="s">
        <x:v>233</x:v>
      </x:c>
      <x:c r="Q25" s="64" t="s">
        <x:v>11</x:v>
      </x:c>
      <x:c r="R25" s="64" t="s">
        <x:v>139</x:v>
      </x:c>
      <x:c r="S25" s="64"/>
      <x:c r="T25" s="64"/>
      <x:c r="U25" s="64"/>
    </x:row>
    <x:row r="26">
      <x:c r="B26" t="str">
        <x:f t="shared" si="0"/>
        <x:v>ROTNBIO1</x:v>
      </x:c>
      <x:c r="C26" t="s">
        <x:v>234</x:v>
      </x:c>
      <x:c r="D26" t="s">
        <x:v>231</x:v>
      </x:c>
      <x:c r="E26" s="29">
        <x:v>2022</x:v>
      </x:c>
      <x:c r="F26">
        <x:v>1.02</x:v>
      </x:c>
      <x:c r="G26" s="30">
        <x:v>0.3</x:v>
      </x:c>
      <x:c r="H26" s="38">
        <x:v>31.536000000000001</x:v>
      </x:c>
      <x:c r="I26" s="30">
        <x:v>1</x:v>
      </x:c>
      <x:c r="K26">
        <x:v>15</x:v>
      </x:c>
      <x:c r="M26" s="59" t="s">
        <x:v>136</x:v>
      </x:c>
      <x:c r="N26" s="64"/>
      <x:c r="O26" s="59" t="s">
        <x:v>235</x:v>
      </x:c>
      <x:c r="P26" s="59" t="s">
        <x:v>236</x:v>
      </x:c>
      <x:c r="Q26" s="64" t="s">
        <x:v>11</x:v>
      </x:c>
      <x:c r="R26" s="64" t="s">
        <x:v>139</x:v>
      </x:c>
      <x:c r="S26" s="64"/>
      <x:c r="T26" s="64"/>
      <x:c r="U26" s="64"/>
    </x:row>
    <x:row r="27" ht="13.800000190734863">
      <x:c r="B27" s="52" t="str">
        <x:f t="shared" si="0"/>
        <x:v>ROTNELC1</x:v>
      </x:c>
      <x:c r="C27" s="52" t="s">
        <x:v>224</x:v>
      </x:c>
      <x:c r="D27" s="52" t="s">
        <x:v>231</x:v>
      </x:c>
      <x:c r="E27" s="29">
        <x:v>2022</x:v>
      </x:c>
      <x:c r="F27" s="52">
        <x:v>1.05</x:v>
      </x:c>
      <x:c r="G27" s="53">
        <x:v>0.3</x:v>
      </x:c>
      <x:c r="H27" s="77">
        <x:v>31.536000000000001</x:v>
      </x:c>
      <x:c r="I27" s="53">
        <x:v>0.75</x:v>
      </x:c>
      <x:c r="J27" s="52"/>
      <x:c r="K27" s="52">
        <x:v>15</x:v>
      </x:c>
      <x:c r="M27" s="59" t="s">
        <x:v>136</x:v>
      </x:c>
      <x:c r="N27" s="66"/>
      <x:c r="O27" s="66" t="s">
        <x:v>237</x:v>
      </x:c>
      <x:c r="P27" s="67" t="s">
        <x:v>238</x:v>
      </x:c>
      <x:c r="Q27" s="66" t="s">
        <x:v>11</x:v>
      </x:c>
      <x:c r="R27" s="66" t="s">
        <x:v>139</x:v>
      </x:c>
      <x:c r="S27" s="59" t="s">
        <x:v>95</x:v>
      </x:c>
      <x:c r="T27" s="66"/>
      <x:c r="U27" s="66"/>
    </x:row>
    <x:row r="28">
      <x:c r="B28" t="s">
        <x:v>239</x:v>
      </x:c>
      <x:c r="C28" t="s">
        <x:v>240</x:v>
      </x:c>
      <x:c r="D28" t="s">
        <x:v>241</x:v>
      </x:c>
      <x:c r="E28" s="29">
        <x:v>2022</x:v>
      </x:c>
      <x:c r="F28" s="30">
        <x:v>0.25</x:v>
      </x:c>
      <x:c r="G28" s="30">
        <x:v>0.35</x:v>
      </x:c>
      <x:c r="H28" s="38">
        <x:v>31.536000000000001</x:v>
      </x:c>
      <x:c r="I28" s="23">
        <x:v>1212</x:v>
      </x:c>
      <x:c r="K28">
        <x:v>20</x:v>
      </x:c>
      <x:c r="M28" s="59" t="s">
        <x:v>136</x:v>
      </x:c>
      <x:c r="O28" t="s">
        <x:v>239</x:v>
      </x:c>
      <x:c r="P28" s="59" t="s">
        <x:v>242</x:v>
      </x:c>
      <x:c r="Q28" s="64" t="s">
        <x:v>11</x:v>
      </x:c>
      <x:c r="R28" s="64" t="s">
        <x:v>139</x:v>
      </x:c>
    </x:row>
    <x:row r="29">
      <x:c r="B29" t="s">
        <x:v>243</x:v>
      </x:c>
      <x:c r="C29" t="s">
        <x:v>244</x:v>
      </x:c>
      <x:c r="D29" t="s">
        <x:v>241</x:v>
      </x:c>
      <x:c r="E29" s="29">
        <x:v>2022</x:v>
      </x:c>
      <x:c r="F29" s="30">
        <x:v>0.9</x:v>
      </x:c>
      <x:c r="G29" s="30">
        <x:v>0.35</x:v>
      </x:c>
      <x:c r="H29" s="38">
        <x:v>31.536000000000001</x:v>
      </x:c>
      <x:c r="I29" s="23">
        <x:v>5000</x:v>
      </x:c>
      <x:c r="K29">
        <x:v>4</x:v>
      </x:c>
      <x:c r="M29" s="59" t="s">
        <x:v>136</x:v>
      </x:c>
      <x:c r="O29" t="s">
        <x:v>243</x:v>
      </x:c>
      <x:c r="P29" s="59" t="s">
        <x:v>245</x:v>
      </x:c>
      <x:c r="Q29" s="64" t="s">
        <x:v>11</x:v>
      </x:c>
      <x:c r="R29" s="64" t="s">
        <x:v>139</x:v>
      </x:c>
      <x:c r="S29" s="59" t="s">
        <x:v>95</x:v>
      </x:c>
    </x:row>
    <x:row r="30">
      <x:c r="E30" s="29"/>
      <x:c r="F30" s="30"/>
      <x:c r="G30" s="30"/>
      <x:c r="H30" s="30"/>
      <x:c r="I30" s="23"/>
    </x:row>
    <x:row r="31">
      <x:c r="E31" s="29"/>
      <x:c r="F31" s="30"/>
      <x:c r="G31" s="30"/>
      <x:c r="H31" s="30"/>
      <x:c r="I31" s="23"/>
    </x:row>
    <x:row r="32">
      <x:c r="E32" s="29"/>
      <x:c r="F32" s="30"/>
      <x:c r="G32" s="30"/>
      <x:c r="H32" s="30"/>
      <x:c r="I32" s="23"/>
    </x:row>
    <x:row r="33">
      <x:c r="E33" s="29"/>
      <x:c r="F33" s="30"/>
      <x:c r="G33" s="30"/>
      <x:c r="H33" s="30"/>
      <x:c r="I33" s="23"/>
    </x:row>
  </x:sheetData>
  <x:pageMargins left="0.7" right="0.7" top="0.75" bottom="0.75" header="0.3" footer="0.3"/>
  <x:drawing xmlns:r="http://schemas.openxmlformats.org/officeDocument/2006/relationships" r:id="R68a2e044a4a24ca9"/>
  <x:legacyDrawing xmlns:r="http://schemas.openxmlformats.org/officeDocument/2006/relationships" r:id="Raa16c8af8fd643b3"/>
</x:worksheet>
</file>

<file path=xl/worksheets/sheet5.xml><?xml version="1.0" encoding="utf-8"?>
<x:worksheet xmlns:x="http://schemas.openxmlformats.org/spreadsheetml/2006/main">
  <x:sheetFormatPr defaultRowHeight="13.199999809265137"/>
  <x:cols>
    <x:col min="1" max="1" width="3" customWidth="1"/>
    <x:col min="2" max="2" width="12.109375" customWidth="1"/>
    <x:col min="3" max="3" width="11.6640625" customWidth="1"/>
    <x:col min="4" max="4" width="21.88671875" customWidth="1"/>
    <x:col min="5" max="5" width="10.88671875" customWidth="1"/>
    <x:col min="6" max="6" width="12.109375" customWidth="1"/>
    <x:col min="7" max="7" width="10.33203125" customWidth="1"/>
    <x:col min="8" max="8" width="15" customWidth="1"/>
    <x:col min="9" max="9" width="11.5546875" customWidth="1"/>
    <x:col min="10" max="10" width="13" customWidth="1"/>
    <x:col min="11" max="11" width="12" customWidth="1"/>
    <x:col min="12" max="12" width="11" customWidth="1"/>
    <x:col min="13" max="13" width="2" customWidth="1"/>
    <x:col min="14" max="14" width="12.33203125" customWidth="1"/>
    <x:col min="15" max="15" width="7.109375" customWidth="1"/>
    <x:col min="16" max="16" width="12.33203125" customWidth="1"/>
    <x:col min="17" max="17" width="78.109375" customWidth="1"/>
    <x:col min="18" max="18" width="5.6640625" customWidth="1"/>
    <x:col min="19" max="19" width="10.44140625" customWidth="1"/>
    <x:col min="20" max="20" width="12.88671875" customWidth="1"/>
    <x:col min="21" max="21" width="13.33203125" customWidth="1"/>
    <x:col min="22" max="22" width="8" customWidth="1"/>
  </x:cols>
  <x:sheetData>
    <x:row r="1" ht="14.399999618530273">
      <x:c r="B1" s="8" t="s">
        <x:v>1</x:v>
      </x:c>
      <x:c r="C1" s="8" t="s">
        <x:v>2</x:v>
      </x:c>
      <x:c r="D1" s="8" t="s">
        <x:v>3</x:v>
      </x:c>
      <x:c r="E1" s="8" t="s">
        <x:v>165</x:v>
      </x:c>
      <x:c r="F1" s="8" t="s">
        <x:v>6</x:v>
      </x:c>
      <x:c r="G1" s="8" t="s">
        <x:v>246</x:v>
      </x:c>
      <x:c r="H1" s="34"/>
      <x:c r="I1" s="8" t="s">
        <x:v>7</x:v>
      </x:c>
    </x:row>
    <x:row r="2" ht="31.200000762939453">
      <x:c r="B2" s="9" t="s">
        <x:v>247</x:v>
      </x:c>
      <x:c r="C2" s="9" t="s">
        <x:v>123</x:v>
      </x:c>
      <x:c r="D2" s="14" t="s">
        <x:v>199</x:v>
      </x:c>
      <x:c r="E2" s="9" t="s">
        <x:v>11</x:v>
      </x:c>
      <x:c r="F2" s="9" t="s">
        <x:v>248</x:v>
      </x:c>
      <x:c r="G2" s="33" t="s">
        <x:v>249</x:v>
      </x:c>
      <x:c r="H2" s="31"/>
      <x:c r="I2" s="9" t="s">
        <x:v>14</x:v>
      </x:c>
      <x:c r="N2" s="58" t="s">
        <x:v>15</x:v>
      </x:c>
      <x:c r="O2" s="58"/>
      <x:c r="P2" s="59"/>
      <x:c r="Q2" s="59"/>
      <x:c r="R2" s="59"/>
      <x:c r="S2" s="59"/>
      <x:c r="T2" s="59"/>
      <x:c r="U2" s="59"/>
      <x:c r="V2" s="59"/>
    </x:row>
    <x:row r="3">
      <x:c r="N3" s="60" t="s">
        <x:v>16</x:v>
      </x:c>
      <x:c r="O3" s="61" t="s">
        <x:v>17</x:v>
      </x:c>
      <x:c r="P3" s="60" t="s">
        <x:v>18</x:v>
      </x:c>
      <x:c r="Q3" s="60" t="s">
        <x:v>19</x:v>
      </x:c>
      <x:c r="R3" s="60" t="s">
        <x:v>20</x:v>
      </x:c>
      <x:c r="S3" s="60" t="s">
        <x:v>21</x:v>
      </x:c>
      <x:c r="T3" s="60" t="s">
        <x:v>22</x:v>
      </x:c>
      <x:c r="U3" s="60" t="s">
        <x:v>23</x:v>
      </x:c>
      <x:c r="V3" s="60" t="s">
        <x:v>24</x:v>
      </x:c>
    </x:row>
    <x:row r="4" ht="22.200000762939453">
      <x:c r="B4" s="31"/>
      <x:c r="C4" s="31"/>
      <x:c r="D4" s="31"/>
      <x:c r="E4" s="31"/>
      <x:c r="F4" s="31"/>
      <x:c r="N4" s="62" t="s">
        <x:v>31</x:v>
      </x:c>
      <x:c r="O4" s="62" t="s">
        <x:v>32</x:v>
      </x:c>
      <x:c r="P4" s="62" t="s">
        <x:v>33</x:v>
      </x:c>
      <x:c r="Q4" s="62" t="s">
        <x:v>34</x:v>
      </x:c>
      <x:c r="R4" s="62" t="s">
        <x:v>20</x:v>
      </x:c>
      <x:c r="S4" s="62" t="s">
        <x:v>35</x:v>
      </x:c>
      <x:c r="T4" s="62" t="s">
        <x:v>36</x:v>
      </x:c>
      <x:c r="U4" s="62" t="s">
        <x:v>37</x:v>
      </x:c>
      <x:c r="V4" s="62" t="s">
        <x:v>38</x:v>
      </x:c>
    </x:row>
    <x:row r="5" ht="15.600000381469727">
      <x:c r="B5" s="31"/>
      <x:c r="C5" s="31"/>
      <x:c r="D5" s="31"/>
      <x:c r="E5" s="31"/>
      <x:c r="F5" s="31"/>
      <x:c r="N5" s="2" t="s">
        <x:v>125</x:v>
      </x:c>
      <x:c r="P5" s="2" t="s">
        <x:v>8</x:v>
      </x:c>
      <x:c r="Q5" s="2"/>
      <x:c r="R5" s="2" t="s">
        <x:v>11</x:v>
      </x:c>
      <x:c r="S5" t="s">
        <x:v>126</x:v>
      </x:c>
      <x:c r="T5" t="s">
        <x:v>95</x:v>
      </x:c>
      <x:c r="U5" s="2"/>
      <x:c r="V5" s="2" t="s">
        <x:v>8</x:v>
      </x:c>
    </x:row>
    <x:row r="6">
      <x:c r="N6" s="2" t="s">
        <x:v>127</x:v>
      </x:c>
      <x:c r="P6" s="2" t="s">
        <x:v>128</x:v>
      </x:c>
      <x:c r="Q6" s="2"/>
      <x:c r="R6" s="2" t="s">
        <x:v>129</x:v>
      </x:c>
      <x:c r="S6" s="2"/>
      <x:c r="T6" t="s">
        <x:v>130</x:v>
      </x:c>
      <x:c r="U6" s="2"/>
      <x:c r="V6" s="2"/>
    </x:row>
    <x:row r="8">
      <x:c r="B8" s="6" t="s">
        <x:v>44</x:v>
      </x:c>
      <x:c r="G8" s="6"/>
      <x:c r="J8" s="5"/>
      <x:c r="K8" s="32"/>
      <x:c r="N8" s="58" t="s">
        <x:v>45</x:v>
      </x:c>
      <x:c r="O8" s="58"/>
      <x:c r="P8" s="64"/>
      <x:c r="Q8" s="64"/>
      <x:c r="R8" s="64"/>
      <x:c r="S8" s="64"/>
      <x:c r="T8" s="64"/>
      <x:c r="U8" s="64"/>
      <x:c r="V8" s="64"/>
    </x:row>
    <x:row r="9">
      <x:c r="B9" s="12" t="s">
        <x:v>46</x:v>
      </x:c>
      <x:c r="C9" s="12" t="s">
        <x:v>47</x:v>
      </x:c>
      <x:c r="D9" s="12" t="s">
        <x:v>48</x:v>
      </x:c>
      <x:c r="E9" s="12" t="s">
        <x:v>50</x:v>
      </x:c>
      <x:c r="F9" s="16" t="s">
        <x:v>51</x:v>
      </x:c>
      <x:c r="G9" s="16" t="s">
        <x:v>52</x:v>
      </x:c>
      <x:c r="H9" s="16" t="s">
        <x:v>250</x:v>
      </x:c>
      <x:c r="I9" s="16" t="s">
        <x:v>53</x:v>
      </x:c>
      <x:c r="J9" s="16" t="s">
        <x:v>54</x:v>
      </x:c>
      <x:c r="K9" s="15" t="s">
        <x:v>56</x:v>
      </x:c>
      <x:c r="L9" s="15" t="s">
        <x:v>57</x:v>
      </x:c>
      <x:c r="M9" s="24"/>
      <x:c r="N9" s="60" t="s">
        <x:v>59</x:v>
      </x:c>
      <x:c r="O9" s="61" t="s">
        <x:v>17</x:v>
      </x:c>
      <x:c r="P9" s="60" t="s">
        <x:v>46</x:v>
      </x:c>
      <x:c r="Q9" s="60" t="s">
        <x:v>60</x:v>
      </x:c>
      <x:c r="R9" s="60" t="s">
        <x:v>61</x:v>
      </x:c>
      <x:c r="S9" s="60" t="s">
        <x:v>62</x:v>
      </x:c>
      <x:c r="T9" s="60" t="s">
        <x:v>63</x:v>
      </x:c>
      <x:c r="U9" s="60" t="s">
        <x:v>64</x:v>
      </x:c>
      <x:c r="V9" s="60" t="s">
        <x:v>65</x:v>
      </x:c>
    </x:row>
    <x:row r="10" ht="21.600000381469727">
      <x:c r="B10" s="11" t="s">
        <x:v>66</x:v>
      </x:c>
      <x:c r="C10" s="11" t="s">
        <x:v>67</x:v>
      </x:c>
      <x:c r="D10" s="11" t="s">
        <x:v>68</x:v>
      </x:c>
      <x:c r="E10" s="11"/>
      <x:c r="F10" s="17" t="s">
        <x:v>69</x:v>
      </x:c>
      <x:c r="G10" s="18" t="s">
        <x:v>70</x:v>
      </x:c>
      <x:c r="H10" s="18" t="s">
        <x:v>251</x:v>
      </x:c>
      <x:c r="I10" s="18" t="s">
        <x:v>252</x:v>
      </x:c>
      <x:c r="J10" s="17" t="s">
        <x:v>72</x:v>
      </x:c>
      <x:c r="K10" s="17" t="s">
        <x:v>74</x:v>
      </x:c>
      <x:c r="L10" s="17" t="s">
        <x:v>75</x:v>
      </x:c>
      <x:c r="M10" s="36"/>
      <x:c r="N10" s="62" t="s">
        <x:v>77</x:v>
      </x:c>
      <x:c r="O10" s="62" t="s">
        <x:v>32</x:v>
      </x:c>
      <x:c r="P10" s="62" t="s">
        <x:v>78</x:v>
      </x:c>
      <x:c r="Q10" s="62" t="s">
        <x:v>79</x:v>
      </x:c>
      <x:c r="R10" s="62" t="s">
        <x:v>4</x:v>
      </x:c>
      <x:c r="S10" s="62" t="s">
        <x:v>80</x:v>
      </x:c>
      <x:c r="T10" s="62" t="s">
        <x:v>81</x:v>
      </x:c>
      <x:c r="U10" s="62" t="s">
        <x:v>82</x:v>
      </x:c>
      <x:c r="V10" s="62" t="s">
        <x:v>83</x:v>
      </x:c>
    </x:row>
    <x:row r="11" ht="13.800000190734863">
      <x:c r="B11" s="10" t="s">
        <x:v>84</x:v>
      </x:c>
      <x:c r="C11" s="10"/>
      <x:c r="D11" s="10"/>
      <x:c r="E11" s="10"/>
      <x:c r="F11" s="19" t="s">
        <x:v>253</x:v>
      </x:c>
      <x:c r="G11" s="37" t="s">
        <x:v>254</x:v>
      </x:c>
      <x:c r="H11" s="20" t="s">
        <x:v>255</x:v>
      </x:c>
      <x:c r="I11" s="20" t="s">
        <x:v>256</x:v>
      </x:c>
      <x:c r="J11" s="19" t="s">
        <x:v>257</x:v>
      </x:c>
      <x:c r="K11" s="19" t="s">
        <x:v>88</x:v>
      </x:c>
      <x:c r="L11" s="19" t="s">
        <x:v>258</x:v>
      </x:c>
      <x:c r="M11" s="36"/>
      <x:c r="N11" s="68" t="s">
        <x:v>90</x:v>
      </x:c>
      <x:c r="O11" s="69"/>
      <x:c r="P11" s="69"/>
      <x:c r="Q11" s="69"/>
      <x:c r="R11" s="69"/>
      <x:c r="S11" s="69"/>
      <x:c r="T11" s="69"/>
      <x:c r="U11" s="69"/>
      <x:c r="V11" s="69"/>
    </x:row>
    <x:row r="12">
      <x:c r="B12" t="str">
        <x:f t="shared" ref="B12:B33" si="0">P12</x:f>
        <x:v>TCANDSL1</x:v>
      </x:c>
      <x:c r="C12" t="s">
        <x:v>259</x:v>
      </x:c>
      <x:c r="D12" t="s">
        <x:v>260</x:v>
      </x:c>
      <x:c r="E12">
        <x:v>2022</x:v>
      </x:c>
      <x:c r="F12" s="30">
        <x:v>0.31230553021919499</x:v>
      </x:c>
      <x:c r="G12" s="29">
        <x:v>12</x:v>
      </x:c>
      <x:c r="H12" s="30">
        <x:v>1.35</x:v>
      </x:c>
      <x:c r="I12" s="39">
        <x:v>30</x:v>
      </x:c>
      <x:c r="J12" s="30">
        <x:v>0.5</x:v>
      </x:c>
      <x:c r="K12">
        <x:v>20</x:v>
      </x:c>
      <x:c r="L12" s="38">
        <x:v>1E-3</x:v>
      </x:c>
      <x:c r="N12" t="s">
        <x:v>136</x:v>
      </x:c>
      <x:c r="O12" s="64"/>
      <x:c r="P12" s="59" t="s">
        <x:v>261</x:v>
      </x:c>
      <x:c r="Q12" s="59" t="s">
        <x:v>262</x:v>
      </x:c>
      <x:c r="R12" s="64" t="s">
        <x:v>263</x:v>
      </x:c>
      <x:c r="S12" s="64" t="s">
        <x:v>249</x:v>
      </x:c>
      <x:c r="T12" s="64"/>
      <x:c r="U12" s="64" t="s">
        <x:v>264</x:v>
      </x:c>
      <x:c r="V12" s="64"/>
    </x:row>
    <x:row r="13">
      <x:c r="B13" t="str">
        <x:f t="shared" si="0"/>
        <x:v>TCANLPG1</x:v>
      </x:c>
      <x:c r="C13" t="s">
        <x:v>265</x:v>
      </x:c>
      <x:c r="D13" t="s">
        <x:v>260</x:v>
      </x:c>
      <x:c r="E13">
        <x:v>2022</x:v>
      </x:c>
      <x:c r="F13" s="30">
        <x:v>0.39900000000000002</x:v>
      </x:c>
      <x:c r="G13" s="29">
        <x:v>12</x:v>
      </x:c>
      <x:c r="H13" s="30">
        <x:v>1.25</x:v>
      </x:c>
      <x:c r="I13" s="39">
        <x:v>16.899999999999999</x:v>
      </x:c>
      <x:c r="J13" s="30">
        <x:v>0.5</x:v>
      </x:c>
      <x:c r="K13">
        <x:v>20</x:v>
      </x:c>
      <x:c r="L13" s="38">
        <x:v>1E-3</x:v>
      </x:c>
      <x:c r="N13" t="s">
        <x:v>136</x:v>
      </x:c>
      <x:c r="O13" s="64"/>
      <x:c r="P13" s="59" t="s">
        <x:v>266</x:v>
      </x:c>
      <x:c r="Q13" s="59" t="s">
        <x:v>267</x:v>
      </x:c>
      <x:c r="R13" s="64" t="s">
        <x:v>263</x:v>
      </x:c>
      <x:c r="S13" s="64" t="s">
        <x:v>249</x:v>
      </x:c>
      <x:c r="T13" s="64"/>
      <x:c r="U13" s="64" t="s">
        <x:v>264</x:v>
      </x:c>
      <x:c r="V13" s="64"/>
    </x:row>
    <x:row r="14">
      <x:c r="B14" t="str">
        <x:f t="shared" si="0"/>
        <x:v>TCANGSL1</x:v>
      </x:c>
      <x:c r="C14" t="s">
        <x:v>268</x:v>
      </x:c>
      <x:c r="D14" t="s">
        <x:v>260</x:v>
      </x:c>
      <x:c r="E14">
        <x:v>2022</x:v>
      </x:c>
      <x:c r="F14" s="30">
        <x:v>0.380510833505597</x:v>
      </x:c>
      <x:c r="G14" s="29">
        <x:v>12</x:v>
      </x:c>
      <x:c r="H14" s="30">
        <x:v>1.25</x:v>
      </x:c>
      <x:c r="I14" s="39">
        <x:v>25</x:v>
      </x:c>
      <x:c r="J14" s="30">
        <x:v>0.5</x:v>
      </x:c>
      <x:c r="K14">
        <x:v>20</x:v>
      </x:c>
      <x:c r="L14" s="38">
        <x:v>1E-3</x:v>
      </x:c>
      <x:c r="N14" t="s">
        <x:v>136</x:v>
      </x:c>
      <x:c r="O14" s="64"/>
      <x:c r="P14" s="59" t="s">
        <x:v>269</x:v>
      </x:c>
      <x:c r="Q14" s="59" t="s">
        <x:v>270</x:v>
      </x:c>
      <x:c r="R14" s="64" t="s">
        <x:v>263</x:v>
      </x:c>
      <x:c r="S14" s="64" t="s">
        <x:v>249</x:v>
      </x:c>
      <x:c r="T14" s="64"/>
      <x:c r="U14" s="64" t="s">
        <x:v>264</x:v>
      </x:c>
      <x:c r="V14" s="64"/>
    </x:row>
    <x:row r="15">
      <x:c r="B15" s="46" t="str">
        <x:f t="shared" si="0"/>
        <x:v>TCANELC1</x:v>
      </x:c>
      <x:c r="C15" s="54" t="s">
        <x:v>271</x:v>
      </x:c>
      <x:c r="D15" s="46" t="s">
        <x:v>260</x:v>
      </x:c>
      <x:c r="E15" s="46">
        <x:v>2026</x:v>
      </x:c>
      <x:c r="F15" s="49">
        <x:v>1.5600711423474201</x:v>
      </x:c>
      <x:c r="G15" s="51">
        <x:v>12</x:v>
      </x:c>
      <x:c r="H15" s="49">
        <x:v>1.25</x:v>
      </x:c>
      <x:c r="I15" s="50">
        <x:v>20</x:v>
      </x:c>
      <x:c r="J15" s="49">
        <x:v>0.15</x:v>
      </x:c>
      <x:c r="K15" s="46">
        <x:v>20</x:v>
      </x:c>
      <x:c r="L15" s="55">
        <x:v>1E-3</x:v>
      </x:c>
      <x:c r="N15" s="46" t="s">
        <x:v>136</x:v>
      </x:c>
      <x:c r="O15" s="70"/>
      <x:c r="P15" s="71" t="s">
        <x:v>272</x:v>
      </x:c>
      <x:c r="Q15" s="71" t="s">
        <x:v>273</x:v>
      </x:c>
      <x:c r="R15" s="70" t="s">
        <x:v>263</x:v>
      </x:c>
      <x:c r="S15" s="70" t="s">
        <x:v>249</x:v>
      </x:c>
      <x:c r="T15" s="70"/>
      <x:c r="U15" s="70" t="s">
        <x:v>264</x:v>
      </x:c>
      <x:c r="V15" s="70"/>
    </x:row>
    <x:row r="16">
      <x:c r="B16" t="str">
        <x:f t="shared" si="0"/>
        <x:v>TPUNDSL1</x:v>
      </x:c>
      <x:c r="C16" t="s">
        <x:v>259</x:v>
      </x:c>
      <x:c r="D16" t="s">
        <x:v>274</x:v>
      </x:c>
      <x:c r="E16">
        <x:v>2022</x:v>
      </x:c>
      <x:c r="F16" s="30">
        <x:v>0.1575</x:v>
      </x:c>
      <x:c r="G16">
        <x:v>50</x:v>
      </x:c>
      <x:c r="H16">
        <x:v>15</x:v>
      </x:c>
      <x:c r="I16" s="39">
        <x:v>40</x:v>
      </x:c>
      <x:c r="J16" s="30">
        <x:v>0.24</x:v>
      </x:c>
      <x:c r="K16">
        <x:v>30</x:v>
      </x:c>
      <x:c r="L16">
        <x:v>1E-3</x:v>
      </x:c>
      <x:c r="N16" t="s">
        <x:v>136</x:v>
      </x:c>
      <x:c r="O16" s="64"/>
      <x:c r="P16" s="59" t="s">
        <x:v>275</x:v>
      </x:c>
      <x:c r="Q16" s="59" t="s">
        <x:v>276</x:v>
      </x:c>
      <x:c r="R16" s="64" t="s">
        <x:v>263</x:v>
      </x:c>
      <x:c r="S16" s="64" t="s">
        <x:v>249</x:v>
      </x:c>
      <x:c r="T16" s="64"/>
      <x:c r="U16" s="64" t="s">
        <x:v>264</x:v>
      </x:c>
      <x:c r="V16" s="64"/>
    </x:row>
    <x:row r="17">
      <x:c r="B17" t="str">
        <x:f t="shared" si="0"/>
        <x:v>TPUNLPG1</x:v>
      </x:c>
      <x:c r="C17" t="s">
        <x:v>265</x:v>
      </x:c>
      <x:c r="D17" t="s">
        <x:v>274</x:v>
      </x:c>
      <x:c r="E17">
        <x:v>2022</x:v>
      </x:c>
      <x:c r="F17" s="30">
        <x:v>0.10500000000000001</x:v>
      </x:c>
      <x:c r="G17">
        <x:v>50</x:v>
      </x:c>
      <x:c r="H17">
        <x:v>15</x:v>
      </x:c>
      <x:c r="I17" s="39">
        <x:v>40</x:v>
      </x:c>
      <x:c r="J17" s="30">
        <x:v>0.24</x:v>
      </x:c>
      <x:c r="K17">
        <x:v>30</x:v>
      </x:c>
      <x:c r="L17">
        <x:v>1E-3</x:v>
      </x:c>
      <x:c r="N17" t="s">
        <x:v>136</x:v>
      </x:c>
      <x:c r="O17" s="64"/>
      <x:c r="P17" s="59" t="s">
        <x:v>277</x:v>
      </x:c>
      <x:c r="Q17" s="59" t="s">
        <x:v>278</x:v>
      </x:c>
      <x:c r="R17" s="64" t="s">
        <x:v>263</x:v>
      </x:c>
      <x:c r="S17" s="64" t="s">
        <x:v>249</x:v>
      </x:c>
      <x:c r="T17" s="64"/>
      <x:c r="U17" s="64" t="s">
        <x:v>264</x:v>
      </x:c>
      <x:c r="V17" s="64"/>
    </x:row>
    <x:row r="18">
      <x:c r="B18" t="str">
        <x:f t="shared" si="0"/>
        <x:v>TPUNGSL1</x:v>
      </x:c>
      <x:c r="C18" t="s">
        <x:v>268</x:v>
      </x:c>
      <x:c r="D18" t="s">
        <x:v>274</x:v>
      </x:c>
      <x:c r="E18">
        <x:v>2022</x:v>
      </x:c>
      <x:c r="F18" s="30">
        <x:v>0.1575</x:v>
      </x:c>
      <x:c r="G18">
        <x:v>20</x:v>
      </x:c>
      <x:c r="H18">
        <x:v>15</x:v>
      </x:c>
      <x:c r="I18" s="39">
        <x:v>40</x:v>
      </x:c>
      <x:c r="J18" s="30">
        <x:v>0.22499999999999998</x:v>
      </x:c>
      <x:c r="K18">
        <x:v>30</x:v>
      </x:c>
      <x:c r="L18">
        <x:v>1E-3</x:v>
      </x:c>
      <x:c r="N18" t="s">
        <x:v>136</x:v>
      </x:c>
      <x:c r="O18" s="64"/>
      <x:c r="P18" s="59" t="s">
        <x:v>279</x:v>
      </x:c>
      <x:c r="Q18" s="59" t="s">
        <x:v>280</x:v>
      </x:c>
      <x:c r="R18" s="64" t="s">
        <x:v>263</x:v>
      </x:c>
      <x:c r="S18" s="64" t="s">
        <x:v>249</x:v>
      </x:c>
      <x:c r="T18" s="64"/>
      <x:c r="U18" s="64" t="s">
        <x:v>264</x:v>
      </x:c>
      <x:c r="V18" s="64"/>
    </x:row>
    <x:row r="19">
      <x:c r="B19" s="46" t="str">
        <x:f t="shared" si="0"/>
        <x:v>TPUNELC1</x:v>
      </x:c>
      <x:c r="C19" s="46" t="s">
        <x:v>271</x:v>
      </x:c>
      <x:c r="D19" s="46" t="s">
        <x:v>274</x:v>
      </x:c>
      <x:c r="E19" s="46">
        <x:v>2026</x:v>
      </x:c>
      <x:c r="F19" s="49">
        <x:v>3.15E-2</x:v>
      </x:c>
      <x:c r="G19" s="46">
        <x:v>15</x:v>
      </x:c>
      <x:c r="H19" s="46">
        <x:v>200</x:v>
      </x:c>
      <x:c r="I19" s="50">
        <x:v>40</x:v>
      </x:c>
      <x:c r="J19" s="49">
        <x:v>0.22499999999999998</x:v>
      </x:c>
      <x:c r="K19" s="46">
        <x:v>30</x:v>
      </x:c>
      <x:c r="L19" s="46">
        <x:v>1E-3</x:v>
      </x:c>
      <x:c r="N19" s="46" t="s">
        <x:v>136</x:v>
      </x:c>
      <x:c r="O19" s="70"/>
      <x:c r="P19" s="71" t="s">
        <x:v>281</x:v>
      </x:c>
      <x:c r="Q19" s="71" t="s">
        <x:v>282</x:v>
      </x:c>
      <x:c r="R19" s="70" t="s">
        <x:v>263</x:v>
      </x:c>
      <x:c r="S19" s="70" t="s">
        <x:v>249</x:v>
      </x:c>
      <x:c r="T19" s="70"/>
      <x:c r="U19" s="70" t="s">
        <x:v>264</x:v>
      </x:c>
      <x:c r="V19" s="70"/>
    </x:row>
    <x:row r="20">
      <x:c r="B20" t="str">
        <x:f t="shared" si="0"/>
        <x:v>TMOTNGSL1</x:v>
      </x:c>
      <x:c r="C20" t="s">
        <x:v>268</x:v>
      </x:c>
      <x:c r="D20" t="s">
        <x:v>283</x:v>
      </x:c>
      <x:c r="E20">
        <x:v>2022</x:v>
      </x:c>
      <x:c r="F20" s="30">
        <x:v>1.1000000000000001</x:v>
      </x:c>
      <x:c r="G20">
        <x:v>9</x:v>
      </x:c>
      <x:c r="H20">
        <x:v>1.2</x:v>
      </x:c>
      <x:c r="I20">
        <x:v>2.2000000000000002</x:v>
      </x:c>
      <x:c r="J20" s="30">
        <x:v>0.02</x:v>
      </x:c>
      <x:c r="K20">
        <x:v>10</x:v>
      </x:c>
      <x:c r="L20" s="38">
        <x:v>1E-3</x:v>
      </x:c>
      <x:c r="N20" t="s">
        <x:v>136</x:v>
      </x:c>
      <x:c r="P20" t="s">
        <x:v>284</x:v>
      </x:c>
      <x:c r="Q20" t="s">
        <x:v>285</x:v>
      </x:c>
      <x:c r="R20" t="s">
        <x:v>263</x:v>
      </x:c>
      <x:c r="S20" t="s">
        <x:v>249</x:v>
      </x:c>
      <x:c r="U20" t="s">
        <x:v>264</x:v>
      </x:c>
    </x:row>
    <x:row r="21">
      <x:c r="B21" s="46" t="str">
        <x:f t="shared" si="0"/>
        <x:v>TMOTNELC1</x:v>
      </x:c>
      <x:c r="C21" s="46" t="s">
        <x:v>271</x:v>
      </x:c>
      <x:c r="D21" s="46" t="s">
        <x:v>283</x:v>
      </x:c>
      <x:c r="E21" s="46">
        <x:v>2026</x:v>
      </x:c>
      <x:c r="F21" s="46">
        <x:v>3.2</x:v>
      </x:c>
      <x:c r="G21" s="46">
        <x:v>8</x:v>
      </x:c>
      <x:c r="H21" s="46">
        <x:v>1.2</x:v>
      </x:c>
      <x:c r="I21" s="46">
        <x:v>2</x:v>
      </x:c>
      <x:c r="J21" s="46">
        <x:v>0.02</x:v>
      </x:c>
      <x:c r="K21" s="46">
        <x:v>10</x:v>
      </x:c>
      <x:c r="L21" s="55">
        <x:v>1E-3</x:v>
      </x:c>
      <x:c r="N21" s="46" t="s">
        <x:v>136</x:v>
      </x:c>
      <x:c r="O21" s="46"/>
      <x:c r="P21" s="46" t="s">
        <x:v>286</x:v>
      </x:c>
      <x:c r="Q21" s="46" t="s">
        <x:v>287</x:v>
      </x:c>
      <x:c r="R21" s="46" t="s">
        <x:v>263</x:v>
      </x:c>
      <x:c r="S21" s="46" t="s">
        <x:v>249</x:v>
      </x:c>
      <x:c r="T21" s="46"/>
      <x:c r="U21" s="46" t="s">
        <x:v>264</x:v>
      </x:c>
      <x:c r="V21" s="46"/>
    </x:row>
    <x:row r="22">
      <x:c r="B22" t="str">
        <x:f t="shared" si="0"/>
        <x:v>TTRINLPG1</x:v>
      </x:c>
      <x:c r="C22" t="s">
        <x:v>265</x:v>
      </x:c>
      <x:c r="D22" t="s">
        <x:v>288</x:v>
      </x:c>
      <x:c r="E22">
        <x:v>2022</x:v>
      </x:c>
      <x:c r="F22" s="30">
        <x:v>0.68</x:v>
      </x:c>
      <x:c r="G22">
        <x:v>15</x:v>
      </x:c>
      <x:c r="H22">
        <x:v>2</x:v>
      </x:c>
      <x:c r="I22">
        <x:v>3</x:v>
      </x:c>
      <x:c r="J22" s="30">
        <x:v>0.25</x:v>
      </x:c>
      <x:c r="K22">
        <x:v>10</x:v>
      </x:c>
      <x:c r="L22">
        <x:v>1E-3</x:v>
      </x:c>
      <x:c r="N22" t="s">
        <x:v>136</x:v>
      </x:c>
      <x:c r="P22" t="s">
        <x:v>289</x:v>
      </x:c>
      <x:c r="Q22" t="s">
        <x:v>290</x:v>
      </x:c>
      <x:c r="R22" t="s">
        <x:v>263</x:v>
      </x:c>
      <x:c r="S22" t="s">
        <x:v>249</x:v>
      </x:c>
      <x:c r="U22" t="s">
        <x:v>264</x:v>
      </x:c>
    </x:row>
    <x:row r="23">
      <x:c r="B23" t="str">
        <x:f t="shared" si="0"/>
        <x:v>TTRINGSL1</x:v>
      </x:c>
      <x:c r="C23" t="s">
        <x:v>268</x:v>
      </x:c>
      <x:c r="D23" t="s">
        <x:v>288</x:v>
      </x:c>
      <x:c r="E23">
        <x:v>2022</x:v>
      </x:c>
      <x:c r="F23" s="30">
        <x:v>0.7</x:v>
      </x:c>
      <x:c r="G23">
        <x:v>14</x:v>
      </x:c>
      <x:c r="H23">
        <x:v>2</x:v>
      </x:c>
      <x:c r="I23">
        <x:v>1.2</x:v>
      </x:c>
      <x:c r="J23" s="30">
        <x:v>0.25</x:v>
      </x:c>
      <x:c r="K23">
        <x:v>10</x:v>
      </x:c>
      <x:c r="L23">
        <x:v>1E-3</x:v>
      </x:c>
      <x:c r="N23" t="s">
        <x:v>136</x:v>
      </x:c>
      <x:c r="P23" t="s">
        <x:v>291</x:v>
      </x:c>
      <x:c r="Q23" t="s">
        <x:v>285</x:v>
      </x:c>
      <x:c r="R23" t="s">
        <x:v>263</x:v>
      </x:c>
      <x:c r="S23" t="s">
        <x:v>249</x:v>
      </x:c>
      <x:c r="U23" t="s">
        <x:v>264</x:v>
      </x:c>
    </x:row>
    <x:row r="24">
      <x:c r="B24" s="46" t="str">
        <x:f t="shared" si="0"/>
        <x:v>TTRINELC1</x:v>
      </x:c>
      <x:c r="C24" s="46" t="s">
        <x:v>271</x:v>
      </x:c>
      <x:c r="D24" s="46" t="s">
        <x:v>288</x:v>
      </x:c>
      <x:c r="E24" s="46">
        <x:v>2026</x:v>
      </x:c>
      <x:c r="F24" s="46">
        <x:v>2.1</x:v>
      </x:c>
      <x:c r="G24" s="46">
        <x:v>12</x:v>
      </x:c>
      <x:c r="H24" s="46">
        <x:v>2</x:v>
      </x:c>
      <x:c r="I24" s="46">
        <x:v>4.9000000000000004</x:v>
      </x:c>
      <x:c r="J24" s="46">
        <x:v>0.12</x:v>
      </x:c>
      <x:c r="K24" s="46">
        <x:v>10</x:v>
      </x:c>
      <x:c r="L24" s="46">
        <x:v>1E-3</x:v>
      </x:c>
      <x:c r="N24" s="46" t="s">
        <x:v>136</x:v>
      </x:c>
      <x:c r="O24" s="46"/>
      <x:c r="P24" s="46" t="s">
        <x:v>292</x:v>
      </x:c>
      <x:c r="Q24" s="46" t="s">
        <x:v>287</x:v>
      </x:c>
      <x:c r="R24" s="46" t="s">
        <x:v>263</x:v>
      </x:c>
      <x:c r="S24" s="46" t="s">
        <x:v>249</x:v>
      </x:c>
      <x:c r="T24" s="46"/>
      <x:c r="U24" s="46" t="s">
        <x:v>264</x:v>
      </x:c>
      <x:c r="V24" s="46"/>
    </x:row>
    <x:row r="25">
      <x:c r="B25" t="str">
        <x:f t="shared" si="0"/>
        <x:v>TFRENDSL1</x:v>
      </x:c>
      <x:c r="C25" t="s">
        <x:v>259</x:v>
      </x:c>
      <x:c r="D25" s="64" t="s">
        <x:v>293</x:v>
      </x:c>
      <x:c r="E25">
        <x:v>2022</x:v>
      </x:c>
      <x:c r="F25" s="30">
        <x:v>0.4</x:v>
      </x:c>
      <x:c r="G25">
        <x:v>55</x:v>
      </x:c>
      <x:c r="H25">
        <x:v>12</x:v>
      </x:c>
      <x:c r="I25">
        <x:v>82</x:v>
      </x:c>
      <x:c r="J25" s="30">
        <x:v>1.1499999999999999</x:v>
      </x:c>
      <x:c r="K25">
        <x:v>30</x:v>
      </x:c>
      <x:c r="L25" s="38">
        <x:v>1E-3</x:v>
      </x:c>
      <x:c r="N25" t="s">
        <x:v>136</x:v>
      </x:c>
      <x:c r="P25" t="s">
        <x:v>294</x:v>
      </x:c>
      <x:c r="Q25" t="s">
        <x:v>295</x:v>
      </x:c>
      <x:c r="R25" t="s">
        <x:v>263</x:v>
      </x:c>
      <x:c r="S25" t="s">
        <x:v>249</x:v>
      </x:c>
      <x:c r="U25" t="s">
        <x:v>264</x:v>
      </x:c>
    </x:row>
    <x:row r="26">
      <x:c r="B26" t="str">
        <x:f t="shared" si="0"/>
        <x:v>TFRENLPG1</x:v>
      </x:c>
      <x:c r="C26" t="s">
        <x:v>265</x:v>
      </x:c>
      <x:c r="D26" s="64" t="s">
        <x:v>293</x:v>
      </x:c>
      <x:c r="E26">
        <x:v>2022</x:v>
      </x:c>
      <x:c r="F26" s="30">
        <x:v>0.34</x:v>
      </x:c>
      <x:c r="G26">
        <x:v>45</x:v>
      </x:c>
      <x:c r="H26">
        <x:v>12</x:v>
      </x:c>
      <x:c r="I26">
        <x:v>86</x:v>
      </x:c>
      <x:c r="J26" s="30">
        <x:v>1.25</x:v>
      </x:c>
      <x:c r="K26">
        <x:v>30</x:v>
      </x:c>
      <x:c r="L26" s="38">
        <x:v>1E-3</x:v>
      </x:c>
      <x:c r="N26" t="s">
        <x:v>136</x:v>
      </x:c>
      <x:c r="P26" t="s">
        <x:v>296</x:v>
      </x:c>
      <x:c r="Q26" t="s">
        <x:v>290</x:v>
      </x:c>
      <x:c r="R26" t="s">
        <x:v>263</x:v>
      </x:c>
      <x:c r="S26" t="s">
        <x:v>249</x:v>
      </x:c>
      <x:c r="U26" t="s">
        <x:v>264</x:v>
      </x:c>
    </x:row>
    <x:row r="27">
      <x:c r="B27" s="46" t="str">
        <x:f t="shared" si="0"/>
        <x:v>TFRENELC1</x:v>
      </x:c>
      <x:c r="C27" s="46" t="s">
        <x:v>271</x:v>
      </x:c>
      <x:c r="D27" s="70" t="s">
        <x:v>293</x:v>
      </x:c>
      <x:c r="E27" s="46">
        <x:v>2026</x:v>
      </x:c>
      <x:c r="F27" s="46">
        <x:v>1.1000000000000001</x:v>
      </x:c>
      <x:c r="G27" s="46">
        <x:v>50</x:v>
      </x:c>
      <x:c r="H27" s="46">
        <x:v>12</x:v>
      </x:c>
      <x:c r="I27" s="46">
        <x:v>145</x:v>
      </x:c>
      <x:c r="J27" s="46">
        <x:v>0.85</x:v>
      </x:c>
      <x:c r="K27" s="46">
        <x:v>30</x:v>
      </x:c>
      <x:c r="L27" s="55">
        <x:v>1E-3</x:v>
      </x:c>
      <x:c r="N27" s="46" t="s">
        <x:v>136</x:v>
      </x:c>
      <x:c r="O27" s="46"/>
      <x:c r="P27" s="46" t="s">
        <x:v>297</x:v>
      </x:c>
      <x:c r="Q27" s="46" t="s">
        <x:v>287</x:v>
      </x:c>
      <x:c r="R27" s="46" t="s">
        <x:v>263</x:v>
      </x:c>
      <x:c r="S27" s="46" t="s">
        <x:v>249</x:v>
      </x:c>
      <x:c r="T27" s="46"/>
      <x:c r="U27" s="46" t="s">
        <x:v>264</x:v>
      </x:c>
      <x:c r="V27" s="46"/>
    </x:row>
    <x:row r="28">
      <x:c r="B28" s="46" t="str">
        <x:f t="shared" si="0"/>
        <x:v>TAVINKER1</x:v>
      </x:c>
      <x:c r="C28" s="46" t="s">
        <x:v>298</x:v>
      </x:c>
      <x:c r="D28" s="64" t="s">
        <x:v>299</x:v>
      </x:c>
      <x:c r="E28" s="46">
        <x:v>2022</x:v>
      </x:c>
      <x:c r="F28" s="46">
        <x:v>0.1</x:v>
      </x:c>
      <x:c r="G28" s="46">
        <x:v>65</x:v>
      </x:c>
      <x:c r="H28" s="46">
        <x:v>180</x:v>
      </x:c>
      <x:c r="I28" s="46">
        <x:v>50000</x:v>
      </x:c>
      <x:c r="J28" s="46">
        <x:v>70</x:v>
      </x:c>
      <x:c r="K28" s="46">
        <x:v>30</x:v>
      </x:c>
      <x:c r="L28" s="46">
        <x:v>1E-3</x:v>
      </x:c>
      <x:c r="N28" s="46" t="s">
        <x:v>136</x:v>
      </x:c>
      <x:c r="O28" s="46"/>
      <x:c r="P28" s="46" t="s">
        <x:v>300</x:v>
      </x:c>
      <x:c r="Q28" s="46" t="s">
        <x:v>301</x:v>
      </x:c>
      <x:c r="R28" s="46" t="s">
        <x:v>263</x:v>
      </x:c>
      <x:c r="S28" s="46" t="s">
        <x:v>249</x:v>
      </x:c>
      <x:c r="T28" s="46"/>
      <x:c r="U28" s="46" t="s">
        <x:v>264</x:v>
      </x:c>
      <x:c r="V28" s="46"/>
    </x:row>
    <x:row r="29">
      <x:c r="B29" t="str">
        <x:f t="shared" si="0"/>
        <x:v>TRAINHFO1</x:v>
      </x:c>
      <x:c r="C29" t="s">
        <x:v>259</x:v>
      </x:c>
      <x:c r="D29" s="72" t="s">
        <x:v>302</x:v>
      </x:c>
      <x:c r="E29">
        <x:v>2022</x:v>
      </x:c>
      <x:c r="F29">
        <x:v>0.26</x:v>
      </x:c>
      <x:c r="G29">
        <x:v>60</x:v>
      </x:c>
      <x:c r="H29">
        <x:v>400</x:v>
      </x:c>
      <x:c r="I29">
        <x:v>2100</x:v>
      </x:c>
      <x:c r="J29">
        <x:v>30</x:v>
      </x:c>
      <x:c r="K29">
        <x:v>30</x:v>
      </x:c>
      <x:c r="L29" s="38">
        <x:v>1E-3</x:v>
      </x:c>
      <x:c r="N29" t="s">
        <x:v>136</x:v>
      </x:c>
      <x:c r="P29" s="2" t="s">
        <x:v>303</x:v>
      </x:c>
      <x:c r="Q29" t="s">
        <x:v>295</x:v>
      </x:c>
      <x:c r="R29" t="s">
        <x:v>263</x:v>
      </x:c>
      <x:c r="S29" t="s">
        <x:v>249</x:v>
      </x:c>
      <x:c r="U29" t="s">
        <x:v>264</x:v>
      </x:c>
    </x:row>
    <x:row r="30">
      <x:c r="B30" s="46" t="str">
        <x:f t="shared" si="0"/>
        <x:v>TRAINELC1</x:v>
      </x:c>
      <x:c r="C30" s="46" t="s">
        <x:v>271</x:v>
      </x:c>
      <x:c r="D30" s="73" t="s">
        <x:v>302</x:v>
      </x:c>
      <x:c r="E30" s="46">
        <x:v>2040</x:v>
      </x:c>
      <x:c r="F30" s="46">
        <x:v>0.78</x:v>
      </x:c>
      <x:c r="G30" s="46">
        <x:v>66</x:v>
      </x:c>
      <x:c r="H30" s="46">
        <x:v>500</x:v>
      </x:c>
      <x:c r="I30" s="46">
        <x:v>3100</x:v>
      </x:c>
      <x:c r="J30" s="46">
        <x:v>22</x:v>
      </x:c>
      <x:c r="K30" s="46">
        <x:v>30</x:v>
      </x:c>
      <x:c r="L30" s="55">
        <x:v>1E-3</x:v>
      </x:c>
      <x:c r="N30" s="46" t="s">
        <x:v>136</x:v>
      </x:c>
      <x:c r="O30" s="46"/>
      <x:c r="P30" s="46" t="s">
        <x:v>304</x:v>
      </x:c>
      <x:c r="Q30" s="46" t="s">
        <x:v>287</x:v>
      </x:c>
      <x:c r="R30" s="46" t="s">
        <x:v>263</x:v>
      </x:c>
      <x:c r="S30" s="46" t="s">
        <x:v>249</x:v>
      </x:c>
      <x:c r="T30" s="46"/>
      <x:c r="U30" s="46" t="s">
        <x:v>264</x:v>
      </x:c>
      <x:c r="V30" s="46"/>
    </x:row>
    <x:row r="31">
      <x:c r="B31" t="str">
        <x:f t="shared" si="0"/>
        <x:v>TMARNDSL1</x:v>
      </x:c>
      <x:c r="C31" t="s">
        <x:v>259</x:v>
      </x:c>
      <x:c r="D31" s="64" t="s">
        <x:v>305</x:v>
      </x:c>
      <x:c r="E31">
        <x:v>2022</x:v>
      </x:c>
      <x:c r="F31">
        <x:v>0.32</x:v>
      </x:c>
      <x:c r="G31">
        <x:v>70</x:v>
      </x:c>
      <x:c r="H31">
        <x:v>1000</x:v>
      </x:c>
      <x:c r="I31">
        <x:v>6000</x:v>
      </x:c>
      <x:c r="J31">
        <x:v>88</x:v>
      </x:c>
      <x:c r="K31">
        <x:v>30</x:v>
      </x:c>
      <x:c r="L31">
        <x:v>1E-3</x:v>
      </x:c>
      <x:c r="N31" t="s">
        <x:v>136</x:v>
      </x:c>
      <x:c r="P31" t="s">
        <x:v>306</x:v>
      </x:c>
      <x:c r="Q31" t="s">
        <x:v>295</x:v>
      </x:c>
      <x:c r="R31" t="s">
        <x:v>263</x:v>
      </x:c>
      <x:c r="S31" t="s">
        <x:v>249</x:v>
      </x:c>
      <x:c r="U31" t="s">
        <x:v>264</x:v>
      </x:c>
    </x:row>
    <x:row r="32">
      <x:c r="B32" t="str">
        <x:f t="shared" si="0"/>
        <x:v>TMARNLPG1</x:v>
      </x:c>
      <x:c r="C32" t="s">
        <x:v>265</x:v>
      </x:c>
      <x:c r="D32" s="64" t="s">
        <x:v>305</x:v>
      </x:c>
      <x:c r="E32">
        <x:v>2022</x:v>
      </x:c>
      <x:c r="F32">
        <x:v>0.27</x:v>
      </x:c>
      <x:c r="G32">
        <x:v>60</x:v>
      </x:c>
      <x:c r="H32">
        <x:v>800</x:v>
      </x:c>
      <x:c r="I32">
        <x:v>6800</x:v>
      </x:c>
      <x:c r="J32">
        <x:v>98</x:v>
      </x:c>
      <x:c r="K32">
        <x:v>30</x:v>
      </x:c>
      <x:c r="L32">
        <x:v>1E-3</x:v>
      </x:c>
      <x:c r="N32" t="s">
        <x:v>136</x:v>
      </x:c>
      <x:c r="P32" t="s">
        <x:v>307</x:v>
      </x:c>
      <x:c r="Q32" t="s">
        <x:v>290</x:v>
      </x:c>
      <x:c r="R32" t="s">
        <x:v>263</x:v>
      </x:c>
      <x:c r="S32" t="s">
        <x:v>249</x:v>
      </x:c>
      <x:c r="U32" t="s">
        <x:v>264</x:v>
      </x:c>
    </x:row>
    <x:row r="33">
      <x:c r="B33" s="46" t="str">
        <x:f t="shared" si="0"/>
        <x:v>TMARNELC1</x:v>
      </x:c>
      <x:c r="C33" s="46" t="s">
        <x:v>271</x:v>
      </x:c>
      <x:c r="D33" s="70" t="s">
        <x:v>305</x:v>
      </x:c>
      <x:c r="E33" s="46">
        <x:v>2026</x:v>
      </x:c>
      <x:c r="F33" s="46">
        <x:v>0.85</x:v>
      </x:c>
      <x:c r="G33" s="46">
        <x:v>50</x:v>
      </x:c>
      <x:c r="H33" s="46">
        <x:v>400</x:v>
      </x:c>
      <x:c r="I33" s="46">
        <x:v>9500</x:v>
      </x:c>
      <x:c r="J33" s="46">
        <x:v>70</x:v>
      </x:c>
      <x:c r="K33" s="46">
        <x:v>30</x:v>
      </x:c>
      <x:c r="L33" s="46">
        <x:v>1E-3</x:v>
      </x:c>
      <x:c r="N33" s="46" t="s">
        <x:v>136</x:v>
      </x:c>
      <x:c r="O33" s="46"/>
      <x:c r="P33" s="46" t="s">
        <x:v>308</x:v>
      </x:c>
      <x:c r="Q33" s="46" t="s">
        <x:v>287</x:v>
      </x:c>
      <x:c r="R33" s="46" t="s">
        <x:v>263</x:v>
      </x:c>
      <x:c r="S33" s="46" t="s">
        <x:v>249</x:v>
      </x:c>
      <x:c r="T33" s="46"/>
      <x:c r="U33" s="46" t="s">
        <x:v>264</x:v>
      </x:c>
      <x:c r="V33" s="46"/>
    </x:row>
  </x:sheetData>
  <x:pageMargins left="0.7" right="0.7" top="0.75" bottom="0.75" header="0.3" footer="0.3"/>
  <x:drawing xmlns:r="http://schemas.openxmlformats.org/officeDocument/2006/relationships" r:id="R54963797b4284522"/>
  <x:legacyDrawing xmlns:r="http://schemas.openxmlformats.org/officeDocument/2006/relationships" r:id="Rcae7c440a56d4b31"/>
</x:worksheet>
</file>

<file path=xl/worksheets/sheet6.xml><?xml version="1.0" encoding="utf-8"?>
<x:worksheet xmlns:x="http://schemas.openxmlformats.org/spreadsheetml/2006/main">
  <x:sheetPr>
    <x:tabColor rgb="FFFFFF00"/>
  </x:sheetPr>
  <x:sheetFormatPr defaultColWidth="9.109375" defaultRowHeight="13.199999809265137"/>
  <x:cols>
    <x:col min="1" max="1" width="2" style="56" customWidth="1"/>
    <x:col min="2" max="12" width="9.109375" style="56" customWidth="0"/>
    <x:col min="13" max="13" width="5" style="56" customWidth="1"/>
    <x:col min="14" max="15" width="2" style="56" customWidth="1"/>
    <x:col min="16" max="26" width="9.109375" style="56" customWidth="0"/>
    <x:col min="27" max="27" width="2" style="56" customWidth="1"/>
    <x:col min="28" max="28" width="2.33203125" style="56" customWidth="1"/>
    <x:col min="29" max="16384" width="9.109375" style="56" customWidth="0"/>
  </x:cols>
  <x:sheetData>
    <x:row r="2">
      <x:c r="B2" s="57" t="s">
        <x:v>309</x:v>
      </x:c>
      <x:c r="P2" s="57" t="s">
        <x:v>310</x:v>
      </x:c>
      <x:c r="AC2" s="57" t="s">
        <x:v>311</x:v>
      </x:c>
    </x:row>
  </x:sheetData>
  <x:hyperlinks>
    <x:hyperlink xmlns:r="http://schemas.openxmlformats.org/officeDocument/2006/relationships" ref="B2" r:id="R53b31c1d023c4e41"/>
    <x:hyperlink xmlns:r="http://schemas.openxmlformats.org/officeDocument/2006/relationships" ref="P2" r:id="Re2758b35c0264c23"/>
    <x:hyperlink xmlns:r="http://schemas.openxmlformats.org/officeDocument/2006/relationships" ref="AC2" r:id="Rd538a866ef774afb"/>
  </x:hyperlinks>
  <x:pageMargins left="0.7" right="0.7" top="0.75" bottom="0.75" header="0.3" footer="0.3"/>
  <x:drawing xmlns:r="http://schemas.openxmlformats.org/officeDocument/2006/relationships" r:id="Rd665612fe3dc4739"/>
</x:worksheet>
</file>

<file path=xl/worksheets/sheet7.xml><?xml version="1.0" encoding="utf-8"?>
<x:worksheet xmlns:x="http://schemas.openxmlformats.org/spreadsheetml/2006/main">
  <x:sheetViews>
    <x:sheetView workbookViewId="0">
      <x:pane ySplit="11" topLeftCell="A12" activePane="bottomLeft" state="frozen"/>
    </x:sheetView>
  </x:sheetViews>
  <x:sheetFormatPr defaultRowHeight="15"/>
  <x:cols>
    <x:col min="1" max="1" width="30" hidden="0" customWidth="1"/>
    <x:col min="2" max="2" width="85" hidden="0" customWidth="1"/>
    <x:col min="3" max="3" width="23" hidden="0" customWidth="1"/>
    <x:col min="4" max="4" width="23" hidden="0" customWidth="1"/>
    <x:col min="5" max="5" width="23" hidden="0" customWidth="1"/>
    <x:col min="6" max="6" width="27" hidden="0" customWidth="1"/>
  </x:cols>
  <x:sheetData>
    <x:row r="1" ht="28" customHeight="1">
      <x:c r="A1" s="153" t="str">
        <x:v>PDP exact-capacity implementation / existing-capacity reconciliation</x:v>
      </x:c>
      <x:c r="B1" s="153"/>
      <x:c r="C1" s="153"/>
      <x:c r="D1" s="153"/>
      <x:c r="E1" s="153"/>
      <x:c r="F1" s="153"/>
    </x:row>
    <x:row r="3">
      <x:c r="A3" t="str">
        <x:v>Constraint in ELC</x:v>
      </x:c>
      <x:c r="B3" t="str">
        <x:v>NCAP_BND~FX (exact capacity)</x:v>
      </x:c>
    </x:row>
    <x:row r="4">
      <x:c r="A4" t="str">
        <x:v>Units</x:v>
      </x:c>
      <x:c r="B4" t="str">
        <x:v>GW (installed capacity, NOT additions)</x:v>
      </x:c>
    </x:row>
    <x:row r="5">
      <x:c r="A5" t="str">
        <x:v>Important</x:v>
      </x:c>
      <x:c r="B5" t="str">
        <x:v>FX applies to the listed technology only; it is NOT an aggregate technology-family bound.</x:v>
      </x:c>
    </x:row>
    <x:row r="6">
      <x:c r="A6" t="str">
        <x:v>Existing capacity</x:v>
      </x:c>
      <x:c r="B6" t="str">
        <x:v>Not supplied separately in this workbook; do NOT count existing plants again as new builds.</x:v>
      </x:c>
    </x:row>
    <x:row r="7">
      <x:c r="A7" t="str">
        <x:v>Model requirement</x:v>
      </x:c>
      <x:c r="B7" t="str">
        <x:v>For exact PDP fleet totals, include existing plants and bound the sum of existing + new capacity in the main VEDA model.</x:v>
      </x:c>
    </x:row>
    <x:row r="8">
      <x:c r="A8" t="str">
        <x:v>Warning</x:v>
      </x:c>
      <x:c r="B8" t="str">
        <x:v>Do not import ELC exact bounds as final fleet-total constraints until stock accounting is reconciled.</x:v>
      </x:c>
    </x:row>
    <x:row r="9">
      <x:c r="A9" t="str">
        <x:v>Unresolved technology</x:v>
      </x:c>
      <x:c r="B9" t="str">
        <x:v>ELC!B55 contains numeric 193, not a valid technology code; check rows 55-58.</x:v>
      </x:c>
    </x:row>
    <x:row r="11" ht="24" customHeight="1">
      <x:c r="A11" s="157" t="str">
        <x:v>Technology (forward-filled)</x:v>
      </x:c>
      <x:c r="B11" s="157" t="str">
        <x:v>PDP year</x:v>
      </x:c>
      <x:c r="C11" s="157" t="str">
        <x:v>PDP total GW</x:v>
      </x:c>
      <x:c r="D11" s="157" t="str">
        <x:v>Existing fleet GW (INPUT)</x:v>
      </x:c>
      <x:c r="E11" s="157" t="str">
        <x:v>Required new GW</x:v>
      </x:c>
      <x:c r="F11" s="157" t="str">
        <x:v>Status</x:v>
      </x:c>
    </x:row>
    <x:row r="12">
      <x:c r="A12" t="str">
        <x:v>ELCTNCOA01</x:v>
      </x:c>
      <x:c r="B12" t="n">
        <x:v>2023</x:v>
      </x:c>
      <x:c r="C12" s="160" t="n">
        <x:v>1.32</x:v>
      </x:c>
      <x:c r="D12" s="160"/>
      <x:c r="E12" s="160" t="str">
        <x:f>IF(D12="","",MAX(0,C12-D12))</x:f>
      </x:c>
      <x:c r="F12" t="str">
        <x:f>IF(D12="","STOCK MISSING",IF(D12&gt;C12,"EXISTING EXCEEDS PDP","CHECK AGGREGATE"))</x:f>
        <x:v>STOCK MISSING</x:v>
      </x:c>
    </x:row>
    <x:row r="13">
      <x:c r="A13" t="str">
        <x:v>ELCTNCOA01</x:v>
      </x:c>
      <x:c r="B13" t="n">
        <x:v>2025</x:v>
      </x:c>
      <x:c r="C13" s="160" t="n">
        <x:v>1.32</x:v>
      </x:c>
      <x:c r="D13" s="160"/>
      <x:c r="E13" s="160" t="str">
        <x:f>IF(D13="","",MAX(0,C13-D13))</x:f>
      </x:c>
      <x:c r="F13" t="str">
        <x:f>IF(D13="","STOCK MISSING",IF(D13&gt;C13,"EXISTING EXCEEDS PDP","CHECK AGGREGATE"))</x:f>
        <x:v>STOCK MISSING</x:v>
      </x:c>
    </x:row>
    <x:row r="14">
      <x:c r="A14" t="str">
        <x:v>ELCTNCOA01</x:v>
      </x:c>
      <x:c r="B14" t="n">
        <x:v>2030</x:v>
      </x:c>
      <x:c r="C14" s="160" t="n">
        <x:v>1.44</x:v>
      </x:c>
      <x:c r="D14" s="160"/>
      <x:c r="E14" s="160" t="str">
        <x:f>IF(D14="","",MAX(0,C14-D14))</x:f>
      </x:c>
      <x:c r="F14" t="str">
        <x:f>IF(D14="","STOCK MISSING",IF(D14&gt;C14,"EXISTING EXCEEDS PDP","CHECK AGGREGATE"))</x:f>
        <x:v>STOCK MISSING</x:v>
      </x:c>
    </x:row>
    <x:row r="15">
      <x:c r="A15" t="str">
        <x:v>ELCTNCOA01</x:v>
      </x:c>
      <x:c r="B15" t="n">
        <x:v>2035</x:v>
      </x:c>
      <x:c r="C15" s="160" t="n">
        <x:v>1.44</x:v>
      </x:c>
      <x:c r="D15" s="160"/>
      <x:c r="E15" s="160" t="str">
        <x:f>IF(D15="","",MAX(0,C15-D15))</x:f>
      </x:c>
      <x:c r="F15" t="str">
        <x:f>IF(D15="","STOCK MISSING",IF(D15&gt;C15,"EXISTING EXCEEDS PDP","CHECK AGGREGATE"))</x:f>
        <x:v>STOCK MISSING</x:v>
      </x:c>
    </x:row>
    <x:row r="16">
      <x:c r="A16" t="str">
        <x:v>ELCTNCOA01</x:v>
      </x:c>
      <x:c r="B16" t="n">
        <x:v>2040</x:v>
      </x:c>
      <x:c r="C16" s="160" t="n">
        <x:v>1.44</x:v>
      </x:c>
      <x:c r="D16" s="160"/>
      <x:c r="E16" s="160" t="str">
        <x:f>IF(D16="","",MAX(0,C16-D16))</x:f>
      </x:c>
      <x:c r="F16" t="str">
        <x:f>IF(D16="","STOCK MISSING",IF(D16&gt;C16,"EXISTING EXCEEDS PDP","CHECK AGGREGATE"))</x:f>
        <x:v>STOCK MISSING</x:v>
      </x:c>
    </x:row>
    <x:row r="17">
      <x:c r="A17" t="str">
        <x:v>ELCTNOIL01</x:v>
      </x:c>
      <x:c r="B17" t="n">
        <x:v>2023</x:v>
      </x:c>
      <x:c r="C17" s="160" t="n">
        <x:v>0.5214</x:v>
      </x:c>
      <x:c r="D17" s="160"/>
      <x:c r="E17" s="160" t="str">
        <x:f>IF(D17="","",MAX(0,C17-D17))</x:f>
      </x:c>
      <x:c r="F17" t="str">
        <x:f>IF(D17="","STOCK MISSING",IF(D17&gt;C17,"EXISTING EXCEEDS PDP","CHECK AGGREGATE"))</x:f>
        <x:v>STOCK MISSING</x:v>
      </x:c>
    </x:row>
    <x:row r="18">
      <x:c r="A18" t="str">
        <x:v>ELCTNOIL01</x:v>
      </x:c>
      <x:c r="B18" t="n">
        <x:v>2025</x:v>
      </x:c>
      <x:c r="C18" s="160" t="n">
        <x:v>0.5214</x:v>
      </x:c>
      <x:c r="D18" s="160"/>
      <x:c r="E18" s="160" t="str">
        <x:f>IF(D18="","",MAX(0,C18-D18))</x:f>
      </x:c>
      <x:c r="F18" t="str">
        <x:f>IF(D18="","STOCK MISSING",IF(D18&gt;C18,"EXISTING EXCEEDS PDP","CHECK AGGREGATE"))</x:f>
        <x:v>STOCK MISSING</x:v>
      </x:c>
    </x:row>
    <x:row r="19">
      <x:c r="A19" t="str">
        <x:v>ELCTNOIL01</x:v>
      </x:c>
      <x:c r="B19" t="n">
        <x:v>2030</x:v>
      </x:c>
      <x:c r="C19" s="160" t="n">
        <x:v>0.5214</x:v>
      </x:c>
      <x:c r="D19" s="160"/>
      <x:c r="E19" s="160" t="str">
        <x:f>IF(D19="","",MAX(0,C19-D19))</x:f>
      </x:c>
      <x:c r="F19" t="str">
        <x:f>IF(D19="","STOCK MISSING",IF(D19&gt;C19,"EXISTING EXCEEDS PDP","CHECK AGGREGATE"))</x:f>
        <x:v>STOCK MISSING</x:v>
      </x:c>
    </x:row>
    <x:row r="20">
      <x:c r="A20" t="str">
        <x:v>ELCTNOIL01</x:v>
      </x:c>
      <x:c r="B20" t="n">
        <x:v>2035</x:v>
      </x:c>
      <x:c r="C20" s="160" t="n">
        <x:v>0.5214</x:v>
      </x:c>
      <x:c r="D20" s="160"/>
      <x:c r="E20" s="160" t="str">
        <x:f>IF(D20="","",MAX(0,C20-D20))</x:f>
      </x:c>
      <x:c r="F20" t="str">
        <x:f>IF(D20="","STOCK MISSING",IF(D20&gt;C20,"EXISTING EXCEEDS PDP","CHECK AGGREGATE"))</x:f>
        <x:v>STOCK MISSING</x:v>
      </x:c>
    </x:row>
    <x:row r="21">
      <x:c r="A21" t="str">
        <x:v>ELCTNOIL01</x:v>
      </x:c>
      <x:c r="B21" t="n">
        <x:v>2040</x:v>
      </x:c>
      <x:c r="C21" s="160" t="n">
        <x:v>0.5214</x:v>
      </x:c>
      <x:c r="D21" s="160"/>
      <x:c r="E21" s="160" t="str">
        <x:f>IF(D21="","",MAX(0,C21-D21))</x:f>
      </x:c>
      <x:c r="F21" t="str">
        <x:f>IF(D21="","STOCK MISSING",IF(D21&gt;C21,"EXISTING EXCEEDS PDP","CHECK AGGREGATE"))</x:f>
        <x:v>STOCK MISSING</x:v>
      </x:c>
    </x:row>
    <x:row r="22">
      <x:c r="A22" t="str">
        <x:v>ELCTNGAS01</x:v>
      </x:c>
      <x:c r="B22" t="n">
        <x:v>2027</x:v>
      </x:c>
      <x:c r="C22" s="160" t="n">
        <x:v>0.9</x:v>
      </x:c>
      <x:c r="D22" s="160"/>
      <x:c r="E22" s="160" t="str">
        <x:f>IF(D22="","",MAX(0,C22-D22))</x:f>
      </x:c>
      <x:c r="F22" t="str">
        <x:f>IF(D22="","STOCK MISSING",IF(D22&gt;C22,"EXISTING EXCEEDS PDP","CHECK AGGREGATE"))</x:f>
        <x:v>STOCK MISSING</x:v>
      </x:c>
    </x:row>
    <x:row r="23">
      <x:c r="A23" t="str">
        <x:v>ELCTNGAS01</x:v>
      </x:c>
      <x:c r="B23" t="n">
        <x:v>2030</x:v>
      </x:c>
      <x:c r="C23" s="160" t="n">
        <x:v>0.9</x:v>
      </x:c>
      <x:c r="D23" s="160"/>
      <x:c r="E23" s="160" t="str">
        <x:f>IF(D23="","",MAX(0,C23-D23))</x:f>
      </x:c>
      <x:c r="F23" t="str">
        <x:f>IF(D23="","STOCK MISSING",IF(D23&gt;C23,"EXISTING EXCEEDS PDP","CHECK AGGREGATE"))</x:f>
        <x:v>STOCK MISSING</x:v>
      </x:c>
    </x:row>
    <x:row r="24">
      <x:c r="A24" t="str">
        <x:v>ELCTNGAS01</x:v>
      </x:c>
      <x:c r="B24" t="n">
        <x:v>2035</x:v>
      </x:c>
      <x:c r="C24" s="160" t="n">
        <x:v>0.9</x:v>
      </x:c>
      <x:c r="D24" s="160"/>
      <x:c r="E24" s="160" t="str">
        <x:f>IF(D24="","",MAX(0,C24-D24))</x:f>
      </x:c>
      <x:c r="F24" t="str">
        <x:f>IF(D24="","STOCK MISSING",IF(D24&gt;C24,"EXISTING EXCEEDS PDP","CHECK AGGREGATE"))</x:f>
        <x:v>STOCK MISSING</x:v>
      </x:c>
    </x:row>
    <x:row r="25">
      <x:c r="A25" t="str">
        <x:v>ELCTNGAS01</x:v>
      </x:c>
      <x:c r="B25" t="n">
        <x:v>2040</x:v>
      </x:c>
      <x:c r="C25" s="160" t="n">
        <x:v>0.9</x:v>
      </x:c>
      <x:c r="D25" s="160"/>
      <x:c r="E25" s="160" t="str">
        <x:f>IF(D25="","",MAX(0,C25-D25))</x:f>
      </x:c>
      <x:c r="F25" t="str">
        <x:f>IF(D25="","STOCK MISSING",IF(D25&gt;C25,"EXISTING EXCEEDS PDP","CHECK AGGREGATE"))</x:f>
        <x:v>STOCK MISSING</x:v>
      </x:c>
    </x:row>
    <x:row r="26">
      <x:c r="A26" t="str">
        <x:v>ELCTNGAS01</x:v>
      </x:c>
      <x:c r="B26" t="n">
        <x:v>2045</x:v>
      </x:c>
      <x:c r="C26" s="160" t="n">
        <x:v>0.9</x:v>
      </x:c>
      <x:c r="D26" s="160"/>
      <x:c r="E26" s="160" t="str">
        <x:f>IF(D26="","",MAX(0,C26-D26))</x:f>
      </x:c>
      <x:c r="F26" t="str">
        <x:f>IF(D26="","STOCK MISSING",IF(D26&gt;C26,"EXISTING EXCEEDS PDP","CHECK AGGREGATE"))</x:f>
        <x:v>STOCK MISSING</x:v>
      </x:c>
    </x:row>
    <x:row r="27">
      <x:c r="A27" t="str">
        <x:v>ELCRNBIO01</x:v>
      </x:c>
      <x:c r="B27" t="n">
        <x:v>2028</x:v>
      </x:c>
      <x:c r="C27" s="160" t="n">
        <x:v>0.022</x:v>
      </x:c>
      <x:c r="D27" s="160"/>
      <x:c r="E27" s="160" t="str">
        <x:f>IF(D27="","",MAX(0,C27-D27))</x:f>
      </x:c>
      <x:c r="F27" t="str">
        <x:f>IF(D27="","STOCK MISSING",IF(D27&gt;C27,"EXISTING EXCEEDS PDP","CHECK AGGREGATE"))</x:f>
        <x:v>STOCK MISSING</x:v>
      </x:c>
    </x:row>
    <x:row r="28">
      <x:c r="A28" t="str">
        <x:v>ELCRNBIO01</x:v>
      </x:c>
      <x:c r="B28" t="n">
        <x:v>2030</x:v>
      </x:c>
      <x:c r="C28" s="160" t="n">
        <x:v>0.072</x:v>
      </x:c>
      <x:c r="D28" s="160"/>
      <x:c r="E28" s="160" t="str">
        <x:f>IF(D28="","",MAX(0,C28-D28))</x:f>
      </x:c>
      <x:c r="F28" t="str">
        <x:f>IF(D28="","STOCK MISSING",IF(D28&gt;C28,"EXISTING EXCEEDS PDP","CHECK AGGREGATE"))</x:f>
        <x:v>STOCK MISSING</x:v>
      </x:c>
    </x:row>
    <x:row r="29">
      <x:c r="A29" t="str">
        <x:v>ELCRNBIO01</x:v>
      </x:c>
      <x:c r="B29" t="n">
        <x:v>2035</x:v>
      </x:c>
      <x:c r="C29" s="160" t="n">
        <x:v>0.072</x:v>
      </x:c>
      <x:c r="D29" s="160"/>
      <x:c r="E29" s="160" t="str">
        <x:f>IF(D29="","",MAX(0,C29-D29))</x:f>
      </x:c>
      <x:c r="F29" t="str">
        <x:f>IF(D29="","STOCK MISSING",IF(D29&gt;C29,"EXISTING EXCEEDS PDP","CHECK AGGREGATE"))</x:f>
        <x:v>STOCK MISSING</x:v>
      </x:c>
    </x:row>
    <x:row r="30">
      <x:c r="A30" t="str">
        <x:v>ELCRNBIO01</x:v>
      </x:c>
      <x:c r="B30" t="n">
        <x:v>2040</x:v>
      </x:c>
      <x:c r="C30" s="160" t="n">
        <x:v>0.072</x:v>
      </x:c>
      <x:c r="D30" s="160"/>
      <x:c r="E30" s="160" t="str">
        <x:f>IF(D30="","",MAX(0,C30-D30))</x:f>
      </x:c>
      <x:c r="F30" t="str">
        <x:f>IF(D30="","STOCK MISSING",IF(D30&gt;C30,"EXISTING EXCEEDS PDP","CHECK AGGREGATE"))</x:f>
        <x:v>STOCK MISSING</x:v>
      </x:c>
    </x:row>
    <x:row r="31">
      <x:c r="A31" t="str">
        <x:v>ELCRNHYD01</x:v>
      </x:c>
      <x:c r="B31" t="n">
        <x:v>2023</x:v>
      </x:c>
      <x:c r="C31" s="160" t="n">
        <x:v>1.3301</x:v>
      </x:c>
      <x:c r="D31" s="160"/>
      <x:c r="E31" s="160" t="str">
        <x:f>IF(D31="","",MAX(0,C31-D31))</x:f>
      </x:c>
      <x:c r="F31" t="str">
        <x:f>IF(D31="","STOCK MISSING",IF(D31&gt;C31,"EXISTING EXCEEDS PDP","CHECK AGGREGATE"))</x:f>
        <x:v>STOCK MISSING</x:v>
      </x:c>
    </x:row>
    <x:row r="32">
      <x:c r="A32" t="str">
        <x:v>ELCRNHYD01</x:v>
      </x:c>
      <x:c r="B32" t="n">
        <x:v>2025</x:v>
      </x:c>
      <x:c r="C32" s="160" t="n">
        <x:v>1.3351</x:v>
      </x:c>
      <x:c r="D32" s="160"/>
      <x:c r="E32" s="160" t="str">
        <x:f>IF(D32="","",MAX(0,C32-D32))</x:f>
      </x:c>
      <x:c r="F32" t="str">
        <x:f>IF(D32="","STOCK MISSING",IF(D32&gt;C32,"EXISTING EXCEEDS PDP","CHECK AGGREGATE"))</x:f>
        <x:v>STOCK MISSING</x:v>
      </x:c>
    </x:row>
    <x:row r="33">
      <x:c r="A33" t="str">
        <x:v>ELCRNHYD01</x:v>
      </x:c>
      <x:c r="B33" t="n">
        <x:v>2030</x:v>
      </x:c>
      <x:c r="C33" s="160" t="n">
        <x:v>1.9951</x:v>
      </x:c>
      <x:c r="D33" s="160"/>
      <x:c r="E33" s="160" t="str">
        <x:f>IF(D33="","",MAX(0,C33-D33))</x:f>
      </x:c>
      <x:c r="F33" t="str">
        <x:f>IF(D33="","STOCK MISSING",IF(D33&gt;C33,"EXISTING EXCEEDS PDP","CHECK AGGREGATE"))</x:f>
        <x:v>STOCK MISSING</x:v>
      </x:c>
    </x:row>
    <x:row r="34">
      <x:c r="A34" t="str">
        <x:v>ELCRNHYD01</x:v>
      </x:c>
      <x:c r="B34" t="n">
        <x:v>2035</x:v>
      </x:c>
      <x:c r="C34" s="160" t="n">
        <x:v>2.7111</x:v>
      </x:c>
      <x:c r="D34" s="160"/>
      <x:c r="E34" s="160" t="str">
        <x:f>IF(D34="","",MAX(0,C34-D34))</x:f>
      </x:c>
      <x:c r="F34" t="str">
        <x:f>IF(D34="","STOCK MISSING",IF(D34&gt;C34,"EXISTING EXCEEDS PDP","CHECK AGGREGATE"))</x:f>
        <x:v>STOCK MISSING</x:v>
      </x:c>
    </x:row>
    <x:row r="35">
      <x:c r="A35" t="str">
        <x:v>ELCRNHYD01</x:v>
      </x:c>
      <x:c r="B35" t="n">
        <x:v>2040</x:v>
      </x:c>
      <x:c r="C35" s="160" t="n">
        <x:v>2.8811</x:v>
      </x:c>
      <x:c r="D35" s="160"/>
      <x:c r="E35" s="160" t="str">
        <x:f>IF(D35="","",MAX(0,C35-D35))</x:f>
      </x:c>
      <x:c r="F35" t="str">
        <x:f>IF(D35="","STOCK MISSING",IF(D35&gt;C35,"EXISTING EXCEEDS PDP","CHECK AGGREGATE"))</x:f>
        <x:v>STOCK MISSING</x:v>
      </x:c>
    </x:row>
    <x:row r="36">
      <x:c r="A36" t="str">
        <x:v>ELCRNWIN01</x:v>
      </x:c>
      <x:c r="B36" t="n">
        <x:v>2026</x:v>
      </x:c>
      <x:c r="C36" s="160" t="n">
        <x:v>0.15</x:v>
      </x:c>
      <x:c r="D36" s="160"/>
      <x:c r="E36" s="160" t="str">
        <x:f>IF(D36="","",MAX(0,C36-D36))</x:f>
      </x:c>
      <x:c r="F36" t="str">
        <x:f>IF(D36="","STOCK MISSING",IF(D36&gt;C36,"EXISTING EXCEEDS PDP","CHECK AGGREGATE"))</x:f>
        <x:v>STOCK MISSING</x:v>
      </x:c>
    </x:row>
    <x:row r="37">
      <x:c r="A37" t="str">
        <x:v>ELCRNWIN01</x:v>
      </x:c>
      <x:c r="B37" t="n">
        <x:v>2030</x:v>
      </x:c>
      <x:c r="C37" s="160" t="n">
        <x:v>0.9</x:v>
      </x:c>
      <x:c r="D37" s="160"/>
      <x:c r="E37" s="160" t="str">
        <x:f>IF(D37="","",MAX(0,C37-D37))</x:f>
      </x:c>
      <x:c r="F37" t="str">
        <x:f>IF(D37="","STOCK MISSING",IF(D37&gt;C37,"EXISTING EXCEEDS PDP","CHECK AGGREGATE"))</x:f>
        <x:v>STOCK MISSING</x:v>
      </x:c>
    </x:row>
    <x:row r="38">
      <x:c r="A38" t="str">
        <x:v>ELCRNWIN01</x:v>
      </x:c>
      <x:c r="B38" t="n">
        <x:v>2035</x:v>
      </x:c>
      <x:c r="C38" s="160" t="n">
        <x:v>1.05</x:v>
      </x:c>
      <x:c r="D38" s="160"/>
      <x:c r="E38" s="160" t="str">
        <x:f>IF(D38="","",MAX(0,C38-D38))</x:f>
      </x:c>
      <x:c r="F38" t="str">
        <x:f>IF(D38="","STOCK MISSING",IF(D38&gt;C38,"EXISTING EXCEEDS PDP","CHECK AGGREGATE"))</x:f>
        <x:v>STOCK MISSING</x:v>
      </x:c>
    </x:row>
    <x:row r="39">
      <x:c r="A39" t="str">
        <x:v>ELCRNWIN01</x:v>
      </x:c>
      <x:c r="B39" t="n">
        <x:v>2040</x:v>
      </x:c>
      <x:c r="C39" s="160" t="n">
        <x:v>2.1</x:v>
      </x:c>
      <x:c r="D39" s="160"/>
      <x:c r="E39" s="160" t="str">
        <x:f>IF(D39="","",MAX(0,C39-D39))</x:f>
      </x:c>
      <x:c r="F39" t="str">
        <x:f>IF(D39="","STOCK MISSING",IF(D39&gt;C39,"EXISTING EXCEEDS PDP","CHECK AGGREGATE"))</x:f>
        <x:v>STOCK MISSING</x:v>
      </x:c>
    </x:row>
    <x:row r="40">
      <x:c r="A40" t="str">
        <x:v>ELCRNSOL01</x:v>
      </x:c>
      <x:c r="B40" t="n">
        <x:v>2022</x:v>
      </x:c>
      <x:c r="C40" s="160" t="n">
        <x:v>0.4468</x:v>
      </x:c>
      <x:c r="D40" s="160"/>
      <x:c r="E40" s="160" t="str">
        <x:f>IF(D40="","",MAX(0,C40-D40))</x:f>
      </x:c>
      <x:c r="F40" t="str">
        <x:f>IF(D40="","STOCK MISSING",IF(D40&gt;C40,"EXISTING EXCEEDS PDP","CHECK AGGREGATE"))</x:f>
        <x:v>STOCK MISSING</x:v>
      </x:c>
    </x:row>
    <x:row r="41">
      <x:c r="A41" t="str">
        <x:v>ELCRNSOL01</x:v>
      </x:c>
      <x:c r="B41" t="n">
        <x:v>2025</x:v>
      </x:c>
      <x:c r="C41" s="160" t="n">
        <x:v>0.9368</x:v>
      </x:c>
      <x:c r="D41" s="160"/>
      <x:c r="E41" s="160" t="str">
        <x:f>IF(D41="","",MAX(0,C41-D41))</x:f>
      </x:c>
      <x:c r="F41" t="str">
        <x:f>IF(D41="","STOCK MISSING",IF(D41&gt;C41,"EXISTING EXCEEDS PDP","CHECK AGGREGATE"))</x:f>
        <x:v>STOCK MISSING</x:v>
      </x:c>
    </x:row>
    <x:row r="42">
      <x:c r="A42" t="str">
        <x:v>ELCRNSOL01</x:v>
      </x:c>
      <x:c r="B42" t="n">
        <x:v>2030</x:v>
      </x:c>
      <x:c r="C42" s="160" t="n">
        <x:v>2.5268</x:v>
      </x:c>
      <x:c r="D42" s="160"/>
      <x:c r="E42" s="160" t="str">
        <x:f>IF(D42="","",MAX(0,C42-D42))</x:f>
      </x:c>
      <x:c r="F42" t="str">
        <x:f>IF(D42="","STOCK MISSING",IF(D42&gt;C42,"EXISTING EXCEEDS PDP","CHECK AGGREGATE"))</x:f>
        <x:v>STOCK MISSING</x:v>
      </x:c>
    </x:row>
    <x:row r="43">
      <x:c r="A43" t="str">
        <x:v>ELCRNSOL01</x:v>
      </x:c>
      <x:c r="B43" t="n">
        <x:v>2035</x:v>
      </x:c>
      <x:c r="C43" s="160" t="n">
        <x:v>3.0908</x:v>
      </x:c>
      <x:c r="D43" s="160"/>
      <x:c r="E43" s="160" t="str">
        <x:f>IF(D43="","",MAX(0,C43-D43))</x:f>
      </x:c>
      <x:c r="F43" t="str">
        <x:f>IF(D43="","STOCK MISSING",IF(D43&gt;C43,"EXISTING EXCEEDS PDP","CHECK AGGREGATE"))</x:f>
        <x:v>STOCK MISSING</x:v>
      </x:c>
    </x:row>
    <x:row r="44">
      <x:c r="A44" t="str">
        <x:v>ELCRNSOL01</x:v>
      </x:c>
      <x:c r="B44" t="n">
        <x:v>2040</x:v>
      </x:c>
      <x:c r="C44" s="160" t="n">
        <x:v>4.2908</x:v>
      </x:c>
      <x:c r="D44" s="160"/>
      <x:c r="E44" s="160" t="str">
        <x:f>IF(D44="","",MAX(0,C44-D44))</x:f>
      </x:c>
      <x:c r="F44" t="str">
        <x:f>IF(D44="","STOCK MISSING",IF(D44&gt;C44,"EXISTING EXCEEDS PDP","CHECK AGGREGATE"))</x:f>
        <x:v>STOCK MISSING</x:v>
      </x:c>
    </x:row>
    <x:row r="45">
      <x:c r="A45" t="str">
        <x:v>ELCRNBSO01</x:v>
      </x:c>
      <x:c r="B45" t="n">
        <x:v>2024</x:v>
      </x:c>
      <x:c r="C45" s="160" t="n">
        <x:v>0.06</x:v>
      </x:c>
      <x:c r="D45" s="160"/>
      <x:c r="E45" s="160" t="str">
        <x:f>IF(D45="","",MAX(0,C45-D45))</x:f>
      </x:c>
      <x:c r="F45" t="str">
        <x:f>IF(D45="","STOCK MISSING",IF(D45&gt;C45,"EXISTING EXCEEDS PDP","CHECK AGGREGATE"))</x:f>
        <x:v>STOCK MISSING</x:v>
      </x:c>
    </x:row>
    <x:row r="46">
      <x:c r="A46" t="str">
        <x:v>ELCRNBSO01</x:v>
      </x:c>
      <x:c r="B46" t="n">
        <x:v>2025</x:v>
      </x:c>
      <x:c r="C46" s="160" t="n">
        <x:v>0.39</x:v>
      </x:c>
      <x:c r="D46" s="160"/>
      <x:c r="E46" s="160" t="str">
        <x:f>IF(D46="","",MAX(0,C46-D46))</x:f>
      </x:c>
      <x:c r="F46" t="str">
        <x:f>IF(D46="","STOCK MISSING",IF(D46&gt;C46,"EXISTING EXCEEDS PDP","CHECK AGGREGATE"))</x:f>
        <x:v>STOCK MISSING</x:v>
      </x:c>
    </x:row>
    <x:row r="47">
      <x:c r="A47" t="str">
        <x:v>ELCRNBSO01</x:v>
      </x:c>
      <x:c r="B47" t="n">
        <x:v>2030</x:v>
      </x:c>
      <x:c r="C47" s="160" t="n">
        <x:v>0.54</x:v>
      </x:c>
      <x:c r="D47" s="160"/>
      <x:c r="E47" s="160" t="str">
        <x:f>IF(D47="","",MAX(0,C47-D47))</x:f>
      </x:c>
      <x:c r="F47" t="str">
        <x:f>IF(D47="","STOCK MISSING",IF(D47&gt;C47,"EXISTING EXCEEDS PDP","CHECK AGGREGATE"))</x:f>
        <x:v>STOCK MISSING</x:v>
      </x:c>
    </x:row>
    <x:row r="48">
      <x:c r="A48" t="str">
        <x:v>ELCRNBSO01</x:v>
      </x:c>
      <x:c r="B48" t="n">
        <x:v>2035</x:v>
      </x:c>
      <x:c r="C48" s="160" t="n">
        <x:v>0.54</x:v>
      </x:c>
      <x:c r="D48" s="160"/>
      <x:c r="E48" s="160" t="str">
        <x:f>IF(D48="","",MAX(0,C48-D48))</x:f>
      </x:c>
      <x:c r="F48" t="str">
        <x:f>IF(D48="","STOCK MISSING",IF(D48&gt;C48,"EXISTING EXCEEDS PDP","CHECK AGGREGATE"))</x:f>
        <x:v>STOCK MISSING</x:v>
      </x:c>
    </x:row>
    <x:row r="49">
      <x:c r="A49" t="str">
        <x:v>ELCRNBSO01</x:v>
      </x:c>
      <x:c r="B49" t="n">
        <x:v>2040</x:v>
      </x:c>
      <x:c r="C49" s="160" t="n">
        <x:v>0.54</x:v>
      </x:c>
      <x:c r="D49" s="160"/>
      <x:c r="E49" s="160" t="str">
        <x:f>IF(D49="","",MAX(0,C49-D49))</x:f>
      </x:c>
      <x:c r="F49" t="str">
        <x:f>IF(D49="","STOCK MISSING",IF(D49&gt;C49,"EXISTING EXCEEDS PDP","CHECK AGGREGATE"))</x:f>
        <x:v>STOCK MISSING</x:v>
      </x:c>
    </x:row>
    <x:row r="50">
      <x:c r="A50" t="str">
        <x:v>ELCRNPHY01</x:v>
      </x:c>
      <x:c r="B50" t="n">
        <x:v>2030</x:v>
      </x:c>
      <x:c r="C50" s="160" t="n">
        <x:v>1</x:v>
      </x:c>
      <x:c r="D50" s="160"/>
      <x:c r="E50" s="160" t="str">
        <x:f>IF(D50="","",MAX(0,C50-D50))</x:f>
      </x:c>
      <x:c r="F50" t="str">
        <x:f>IF(D50="","STOCK MISSING",IF(D50&gt;C50,"EXISTING EXCEEDS PDP","CHECK AGGREGATE"))</x:f>
        <x:v>STOCK MISSING</x:v>
      </x:c>
    </x:row>
    <x:row r="51">
      <x:c r="A51" t="str">
        <x:v>ELCRNPHY01</x:v>
      </x:c>
      <x:c r="B51" t="n">
        <x:v>2035</x:v>
      </x:c>
      <x:c r="C51" s="160" t="n">
        <x:v>1</x:v>
      </x:c>
      <x:c r="D51" s="160"/>
      <x:c r="E51" s="160" t="str">
        <x:f>IF(D51="","",MAX(0,C51-D51))</x:f>
      </x:c>
      <x:c r="F51" t="str">
        <x:f>IF(D51="","STOCK MISSING",IF(D51&gt;C51,"EXISTING EXCEEDS PDP","CHECK AGGREGATE"))</x:f>
        <x:v>STOCK MISSING</x:v>
      </x:c>
    </x:row>
    <x:row r="52">
      <x:c r="A52" t="str">
        <x:v>ELCRNPHY01</x:v>
      </x:c>
      <x:c r="B52" t="n">
        <x:v>2040</x:v>
      </x:c>
      <x:c r="C52" s="160" t="n">
        <x:v>1.8</x:v>
      </x:c>
      <x:c r="D52" s="160"/>
      <x:c r="E52" s="160" t="str">
        <x:f>IF(D52="","",MAX(0,C52-D52))</x:f>
      </x:c>
      <x:c r="F52" t="str">
        <x:f>IF(D52="","STOCK MISSING",IF(D52&gt;C52,"EXISTING EXCEEDS PDP","CHECK AGGREGATE"))</x:f>
        <x:v>STOCK MISSING</x:v>
      </x:c>
    </x:row>
    <x:row r="53">
      <x:c r="A53" t="str">
        <x:v>ELCSNBES01</x:v>
      </x:c>
      <x:c r="B53" t="n">
        <x:v>2025</x:v>
      </x:c>
      <x:c r="C53" s="160" t="n">
        <x:v>0.554</x:v>
      </x:c>
      <x:c r="D53" s="160"/>
      <x:c r="E53" s="160" t="str">
        <x:f>IF(D53="","",MAX(0,C53-D53))</x:f>
      </x:c>
      <x:c r="F53" t="str">
        <x:f>IF(D53="","STOCK MISSING",IF(D53&gt;C53,"EXISTING EXCEEDS PDP","CHECK AGGREGATE"))</x:f>
        <x:v>STOCK MISSING</x:v>
      </x:c>
    </x:row>
    <x:row r="54">
      <x:c r="A54" t="str">
        <x:v>ELCSNBES01</x:v>
      </x:c>
      <x:c r="B54" t="n">
        <x:v>2030</x:v>
      </x:c>
      <x:c r="C54" s="160" t="n">
        <x:v>1.754</x:v>
      </x:c>
      <x:c r="D54" s="160"/>
      <x:c r="E54" s="160" t="str">
        <x:f>IF(D54="","",MAX(0,C54-D54))</x:f>
      </x:c>
      <x:c r="F54" t="str">
        <x:f>IF(D54="","STOCK MISSING",IF(D54&gt;C54,"EXISTING EXCEEDS PDP","CHECK AGGREGATE"))</x:f>
        <x:v>STOCK MISSING</x:v>
      </x:c>
    </x:row>
    <x:row r="55">
      <x:c r="A55" t="str">
        <x:v>ELCSNBES01</x:v>
      </x:c>
      <x:c r="B55" t="n">
        <x:v>2035</x:v>
      </x:c>
      <x:c r="C55" s="160" t="n">
        <x:v>1.754</x:v>
      </x:c>
      <x:c r="D55" s="160"/>
      <x:c r="E55" s="160" t="str">
        <x:f>IF(D55="","",MAX(0,C55-D55))</x:f>
      </x:c>
      <x:c r="F55" t="str">
        <x:f>IF(D55="","STOCK MISSING",IF(D55&gt;C55,"EXISTING EXCEEDS PDP","CHECK AGGREGATE"))</x:f>
        <x:v>STOCK MISSING</x:v>
      </x:c>
    </x:row>
    <x:row r="56">
      <x:c r="A56" t="str">
        <x:v>ELCSNBES01</x:v>
      </x:c>
      <x:c r="B56" t="n">
        <x:v>2040</x:v>
      </x:c>
      <x:c r="C56" s="160" t="n">
        <x:v>2.254</x:v>
      </x:c>
      <x:c r="D56" s="160"/>
      <x:c r="E56" s="160" t="str">
        <x:f>IF(D56="","",MAX(0,C56-D56))</x:f>
      </x:c>
      <x:c r="F56" t="str">
        <x:f>IF(D56="","STOCK MISSING",IF(D56&gt;C56,"EXISTING EXCEEDS PDP","CHECK AGGREGATE"))</x:f>
        <x:v>STOCK MISSING</x:v>
      </x:c>
    </x:row>
    <x:row r="57">
      <x:c r="C57" s="160"/>
      <x:c r="D57" s="160"/>
      <x:c r="E57" s="160"/>
    </x:row>
    <x:row r="58">
      <x:c r="C58" s="160"/>
      <x:c r="D58" s="160"/>
      <x:c r="E58" s="160"/>
    </x:row>
    <x:row r="59">
      <x:c r="C59" s="160"/>
      <x:c r="D59" s="160"/>
      <x:c r="E59" s="160"/>
    </x:row>
    <x:row r="60">
      <x:c r="C60" s="160"/>
      <x:c r="D60" s="160"/>
      <x:c r="E60" s="160"/>
    </x:row>
  </x:sheetData>
  <x:pageMargins left="0.7" right="0.7" top="0.75" bottom="0.75" header="0.3" footer="0.3"/>
</x:worksheet>
</file>