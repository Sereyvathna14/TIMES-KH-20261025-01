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7AE91D73-7A1D-4254-9457-278E92C65B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21" i="4" l="1"/>
  <c r="B20" i="4"/>
  <c r="B16" i="4"/>
  <c r="B15" i="4"/>
  <c r="B14" i="4"/>
</calcChain>
</file>

<file path=xl/sharedStrings.xml><?xml version="1.0" encoding="utf-8"?>
<sst xmlns="http://schemas.openxmlformats.org/spreadsheetml/2006/main" count="165" uniqueCount="123">
  <si>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</si>
  <si>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</si>
  <si>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</si>
  <si>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</si>
  <si>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</si>
  <si>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</si>
  <si>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</si>
  <si>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</si>
  <si>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</si>
  <si>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</si>
  <si>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</si>
  <si>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</si>
  <si>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</si>
  <si>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</si>
  <si>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</si>
  <si>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</si>
  <si>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</si>
  <si>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</si>
  <si>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</si>
  <si>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</si>
  <si>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</si>
  <si>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</si>
  <si>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</si>
  <si>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</si>
  <si>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</si>
  <si>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</si>
  <si>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</si>
  <si>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</si>
  <si>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</si>
  <si>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</si>
  <si>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</si>
  <si>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</si>
  <si>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</si>
  <si>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</si>
  <si>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</si>
  <si>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</si>
  <si>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</si>
  <si>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</si>
  <si>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</si>
  <si>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</si>
  <si>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</si>
  <si>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</si>
  <si>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</si>
  <si>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</si>
  <si>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</si>
  <si>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</si>
  <si>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</si>
  <si>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</si>
  <si>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</si>
  <si>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</si>
  <si>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</si>
  <si>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</si>
  <si>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</si>
  <si>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</si>
  <si>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</si>
  <si>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</si>
  <si>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</si>
  <si>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</si>
  <si>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</si>
  <si>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</si>
  <si>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</si>
  <si>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</si>
  <si>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</si>
  <si>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</si>
  <si>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</si>
  <si>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</si>
  <si>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</si>
  <si>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</si>
  <si>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</si>
  <si>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</si>
  <si>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</si>
  <si>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</si>
  <si>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</si>
  <si>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</si>
  <si>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</si>
  <si>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</si>
  <si>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</si>
  <si>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</si>
  <si>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</si>
  <si>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</si>
  <si>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</si>
  <si>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</si>
  <si>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SEASON</t>
  </si>
  <si>
    <t>ELCCOA</t>
  </si>
  <si>
    <t>ELCGAS</t>
  </si>
  <si>
    <t>ELCOIL</t>
  </si>
  <si>
    <t>*</t>
  </si>
  <si>
    <t>Year</t>
  </si>
  <si>
    <t>Yes</t>
  </si>
  <si>
    <t>Power Plants New 1 - Solid Fuels</t>
  </si>
  <si>
    <t>Power Plants New 1 - Natural Gas</t>
  </si>
  <si>
    <t>Power Plants New 1 - Oil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</si>
  <si>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</si>
  <si>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</si>
  <si>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</si>
  <si>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</si>
  <si>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</si>
  <si>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</si>
  <si>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</si>
  <si>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</si>
  <si>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</si>
  <si>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</si>
  <si>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</si>
  <si>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</si>
  <si>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</si>
  <si>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</si>
  <si>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</si>
  <si>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</si>
  <si>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CAP2ACT</t>
  </si>
  <si>
    <t>Lifetime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</si>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</sst>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7" formatCode="\Te\x\t"/>
  </numFmts>
  <fonts count="25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8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1" fontId="14" fillId="0" borderId="0" applyNumberFormat="0" applyAlignment="0" applyProtection="0">
      <alignment horizontal="center"/>
    </xf>
    <xf numFmtId="0" fontId="15" fillId="0" borderId="5" applyNumberFormat="0" applyFill="0" applyAlignment="0" applyProtection="0"/>
    <xf numFmtId="164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0" fontId="4" fillId="6" borderId="6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24" fillId="0" borderId="0"/>
  </cellStyleXfs>
  <cellXfs count="39">
    <xf numFmtId="0" fontId="0" fillId="0" borderId="0" xfId="0"/>
    <xf numFmtId="0" fontId="18" fillId="0" borderId="0" xfId="0" applyFont="1"/>
    <xf numFmtId="0" fontId="4" fillId="0" borderId="0" xfId="0" applyFont="1"/>
    <xf numFmtId="0" fontId="3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3" fillId="4" borderId="0" xfId="2"/>
    <xf numFmtId="0" fontId="19" fillId="7" borderId="0" xfId="13" applyFont="1" applyFill="1"/>
    <xf numFmtId="0" fontId="20" fillId="3" borderId="2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19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0" fillId="3" borderId="1" xfId="1" applyFont="1" applyBorder="1" applyAlignment="1">
      <alignment horizontal="right" wrapText="1"/>
    </xf>
    <xf numFmtId="0" fontId="20" fillId="3" borderId="3" xfId="1" applyFont="1" applyBorder="1" applyAlignment="1">
      <alignment horizontal="right" wrapText="1"/>
    </xf>
    <xf numFmtId="0" fontId="20" fillId="3" borderId="2" xfId="1" applyFont="1" applyBorder="1" applyAlignment="1">
      <alignment horizontal="right" wrapText="1"/>
    </xf>
    <xf numFmtId="0" fontId="20" fillId="3" borderId="4" xfId="1" applyFont="1" applyBorder="1" applyAlignment="1">
      <alignment horizontal="right" wrapText="1"/>
    </xf>
    <xf numFmtId="0" fontId="13" fillId="4" borderId="0" xfId="2" applyAlignment="1">
      <alignment wrapText="1"/>
    </xf>
    <xf numFmtId="0" fontId="4" fillId="0" borderId="0" xfId="16"/>
    <xf numFmtId="0" fontId="21" fillId="0" borderId="0" xfId="16" applyFont="1"/>
    <xf numFmtId="0" fontId="5" fillId="0" borderId="0" xfId="31" applyFont="1" applyAlignment="1">
      <alignment horizontal="right" vertical="center" wrapText="1"/>
    </xf>
    <xf numFmtId="1" fontId="4" fillId="0" borderId="0" xfId="16" applyNumberFormat="1"/>
    <xf numFmtId="2" fontId="4" fillId="0" borderId="0" xfId="16" applyNumberFormat="1"/>
    <xf numFmtId="0" fontId="22" fillId="0" borderId="0" xfId="13" applyFont="1" applyFill="1"/>
    <xf numFmtId="0" fontId="23" fillId="0" borderId="0" xfId="2" applyFont="1" applyFill="1" applyAlignment="1">
      <alignment wrapText="1"/>
    </xf>
    <xf numFmtId="0" fontId="19" fillId="0" borderId="0" xfId="13" applyFont="1" applyFill="1"/>
    <xf numFmtId="0" fontId="13" fillId="0" borderId="0" xfId="2" applyFill="1"/>
    <xf numFmtId="0" fontId="5" fillId="0" borderId="0" xfId="0" applyFont="1" applyAlignment="1">
      <alignment horizontal="left"/>
    </xf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0" fillId="3" borderId="2" xfId="1" applyNumberFormat="1" applyFont="1" applyBorder="1" applyAlignment="1">
      <alignment horizontal="left" wrapText="1"/>
    </xf>
    <xf numFmtId="167" fontId="20" fillId="3" borderId="1" xfId="1" applyNumberFormat="1" applyFont="1" applyBorder="1" applyAlignment="1">
      <alignment horizontal="left" wrapText="1"/>
    </xf>
    <xf numFmtId="167" fontId="0" fillId="0" borderId="0" xfId="0" applyNumberFormat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30</xdr:row>
      <xdr:rowOff>15875</xdr:rowOff>
    </xdr:from>
    <xdr:to>
      <xdr:col>11</xdr:col>
      <xdr:colOff>21166</xdr:colOff>
      <xdr:row>39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6"/>
  <sheetViews>
    <sheetView tabSelected="1" topLeftCell="A7" zoomScaleNormal="100" workbookViewId="0">
      <selection activeCell="I28" sqref="I28"/>
    </sheetView>
  </sheetViews>
  <sheetFormatPr defaultRowHeight="13.2" x14ac:dyDescent="0.25"/>
  <cols>
    <col min="1" max="1" width="3" style="20" customWidth="1"/>
    <col min="2" max="2" width="16.5546875" style="20" bestFit="1" customWidth="1"/>
    <col min="3" max="3" width="18.33203125" style="20" customWidth="1"/>
    <col min="4" max="4" width="15.33203125" style="20" customWidth="1"/>
    <col min="5" max="5" width="11.88671875" style="20" bestFit="1" customWidth="1"/>
    <col min="6" max="6" width="12.6640625" style="20" bestFit="1" customWidth="1"/>
    <col min="7" max="8" width="13.109375" style="20" bestFit="1" customWidth="1"/>
    <col min="9" max="9" width="9.6640625" style="20" customWidth="1"/>
    <col min="10" max="10" width="7.6640625" style="20" customWidth="1"/>
    <col min="11" max="11" width="8.33203125" style="20" customWidth="1"/>
    <col min="12" max="12" width="7" style="20" bestFit="1" customWidth="1"/>
    <col min="13" max="13" width="15" style="20" bestFit="1" customWidth="1"/>
    <col min="14" max="14" width="11.5546875" style="20" bestFit="1" customWidth="1"/>
    <col min="15" max="15" width="2" style="20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29"/>
      <c r="Q2" s="29"/>
      <c r="R2" s="29"/>
      <c r="S2" s="29"/>
      <c r="T2" s="29"/>
      <c r="U2" s="29"/>
      <c r="V2" s="29"/>
      <c r="W2" s="29"/>
      <c r="X2" s="29"/>
    </row>
    <row r="3" spans="1:24" ht="14.4" x14ac:dyDescent="0.3">
      <c r="B3" s="19" t="s">
        <v>43</v>
      </c>
      <c r="C3" s="7" t="s">
        <v>44</v>
      </c>
      <c r="D3" s="7" t="s">
        <v>45</v>
      </c>
      <c r="E3" s="19" t="s">
        <v>30</v>
      </c>
      <c r="F3" s="19" t="s">
        <v>46</v>
      </c>
      <c r="G3" s="19" t="s">
        <v>47</v>
      </c>
      <c r="I3" s="19" t="s">
        <v>48</v>
      </c>
    </row>
    <row r="4" spans="1:24" ht="15.6" x14ac:dyDescent="0.3">
      <c r="B4" s="8" t="s">
        <v>49</v>
      </c>
      <c r="C4" s="8" t="s">
        <v>50</v>
      </c>
      <c r="D4" s="12" t="s">
        <v>51</v>
      </c>
      <c r="E4" s="8" t="s">
        <v>52</v>
      </c>
      <c r="F4" s="8" t="s">
        <v>53</v>
      </c>
      <c r="G4" s="8" t="s">
        <v>110</v>
      </c>
      <c r="I4" s="8" t="s">
        <v>54</v>
      </c>
      <c r="P4" s="32" t="s">
        <v>7</v>
      </c>
      <c r="Q4" s="32"/>
      <c r="R4" s="33"/>
      <c r="S4" s="33"/>
      <c r="T4" s="33"/>
      <c r="U4" s="33"/>
      <c r="V4" s="33"/>
      <c r="W4" s="33"/>
      <c r="X4" s="33"/>
    </row>
    <row r="5" spans="1:24" x14ac:dyDescent="0.25">
      <c r="P5" s="34" t="s">
        <v>8</v>
      </c>
      <c r="Q5" s="35" t="s">
        <v>55</v>
      </c>
      <c r="R5" s="34" t="s">
        <v>6</v>
      </c>
      <c r="S5" s="34" t="s">
        <v>9</v>
      </c>
      <c r="T5" s="34" t="s">
        <v>10</v>
      </c>
      <c r="U5" s="34" t="s">
        <v>11</v>
      </c>
      <c r="V5" s="34" t="s">
        <v>12</v>
      </c>
      <c r="W5" s="34" t="s">
        <v>13</v>
      </c>
      <c r="X5" s="34" t="s">
        <v>14</v>
      </c>
    </row>
    <row r="6" spans="1:24" ht="22.2" thickBot="1" x14ac:dyDescent="0.35">
      <c r="B6" s="26" t="s">
        <v>56</v>
      </c>
      <c r="C6" s="7" t="s">
        <v>57</v>
      </c>
      <c r="D6" s="7" t="s">
        <v>58</v>
      </c>
      <c r="E6" s="7" t="s">
        <v>59</v>
      </c>
      <c r="F6" s="7" t="s">
        <v>60</v>
      </c>
      <c r="G6" s="7" t="s">
        <v>111</v>
      </c>
      <c r="H6" s="28"/>
      <c r="P6" s="36" t="s">
        <v>61</v>
      </c>
      <c r="Q6" s="36" t="s">
        <v>62</v>
      </c>
      <c r="R6" s="36" t="s">
        <v>24</v>
      </c>
      <c r="S6" s="36" t="s">
        <v>25</v>
      </c>
      <c r="T6" s="36" t="s">
        <v>10</v>
      </c>
      <c r="U6" s="36" t="s">
        <v>63</v>
      </c>
      <c r="V6" s="36" t="s">
        <v>64</v>
      </c>
      <c r="W6" s="36" t="s">
        <v>26</v>
      </c>
      <c r="X6" s="36" t="s">
        <v>27</v>
      </c>
    </row>
    <row r="7" spans="1:24" ht="15.6" x14ac:dyDescent="0.3">
      <c r="B7" s="25" t="s">
        <v>65</v>
      </c>
      <c r="C7" s="8" t="s">
        <v>66</v>
      </c>
      <c r="D7" s="8" t="s">
        <v>67</v>
      </c>
      <c r="E7" s="8" t="s">
        <v>68</v>
      </c>
      <c r="F7" s="8" t="s">
        <v>54</v>
      </c>
      <c r="G7" s="8" t="s">
        <v>112</v>
      </c>
      <c r="H7" s="27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5" t="s">
        <v>0</v>
      </c>
      <c r="F10" s="21"/>
      <c r="G10" s="5"/>
      <c r="I10" s="5"/>
      <c r="J10" s="6"/>
      <c r="K10" s="6"/>
      <c r="L10" s="4"/>
      <c r="P10" s="32" t="s">
        <v>18</v>
      </c>
      <c r="Q10" s="32"/>
      <c r="R10" s="33"/>
      <c r="S10" s="33"/>
      <c r="T10" s="33"/>
      <c r="U10" s="33"/>
      <c r="V10" s="33"/>
      <c r="W10" s="33"/>
      <c r="X10" s="33"/>
    </row>
    <row r="11" spans="1:24" x14ac:dyDescent="0.25">
      <c r="B11" s="11" t="s">
        <v>1</v>
      </c>
      <c r="C11" s="11" t="s">
        <v>3</v>
      </c>
      <c r="D11" s="11" t="s">
        <v>4</v>
      </c>
      <c r="E11" s="11" t="s">
        <v>87</v>
      </c>
      <c r="F11" s="13" t="s">
        <v>15</v>
      </c>
      <c r="G11" s="14" t="s">
        <v>17</v>
      </c>
      <c r="H11" s="14" t="s">
        <v>35</v>
      </c>
      <c r="I11" s="14" t="s">
        <v>39</v>
      </c>
      <c r="J11" s="14" t="s">
        <v>5</v>
      </c>
      <c r="K11" s="14" t="s">
        <v>36</v>
      </c>
      <c r="L11" s="13" t="s">
        <v>69</v>
      </c>
      <c r="M11" s="13" t="s">
        <v>108</v>
      </c>
      <c r="N11" s="13" t="s">
        <v>70</v>
      </c>
      <c r="O11" s="22"/>
      <c r="P11" s="34" t="s">
        <v>16</v>
      </c>
      <c r="Q11" s="35" t="s">
        <v>55</v>
      </c>
      <c r="R11" s="34" t="s">
        <v>1</v>
      </c>
      <c r="S11" s="34" t="s">
        <v>2</v>
      </c>
      <c r="T11" s="34" t="s">
        <v>19</v>
      </c>
      <c r="U11" s="34" t="s">
        <v>20</v>
      </c>
      <c r="V11" s="34" t="s">
        <v>21</v>
      </c>
      <c r="W11" s="34" t="s">
        <v>22</v>
      </c>
      <c r="X11" s="34" t="s">
        <v>23</v>
      </c>
    </row>
    <row r="12" spans="1:24" ht="21" x14ac:dyDescent="0.25">
      <c r="B12" s="10" t="s">
        <v>71</v>
      </c>
      <c r="C12" s="10" t="s">
        <v>33</v>
      </c>
      <c r="D12" s="10" t="s">
        <v>34</v>
      </c>
      <c r="E12" s="10"/>
      <c r="F12" s="15"/>
      <c r="G12" s="15" t="s">
        <v>37</v>
      </c>
      <c r="H12" s="16" t="s">
        <v>72</v>
      </c>
      <c r="I12" s="15" t="s">
        <v>73</v>
      </c>
      <c r="J12" s="15" t="s">
        <v>40</v>
      </c>
      <c r="K12" s="15" t="s">
        <v>41</v>
      </c>
      <c r="L12" s="15" t="s">
        <v>109</v>
      </c>
      <c r="M12" s="15" t="s">
        <v>38</v>
      </c>
      <c r="N12" s="15" t="s">
        <v>74</v>
      </c>
      <c r="P12" s="37" t="s">
        <v>75</v>
      </c>
      <c r="Q12" s="37" t="s">
        <v>62</v>
      </c>
      <c r="R12" s="37" t="s">
        <v>28</v>
      </c>
      <c r="S12" s="37" t="s">
        <v>29</v>
      </c>
      <c r="T12" s="37" t="s">
        <v>30</v>
      </c>
      <c r="U12" s="37" t="s">
        <v>31</v>
      </c>
      <c r="V12" s="37" t="s">
        <v>76</v>
      </c>
      <c r="W12" s="37" t="s">
        <v>77</v>
      </c>
      <c r="X12" s="37" t="s">
        <v>32</v>
      </c>
    </row>
    <row r="13" spans="1:24" ht="13.8" thickBot="1" x14ac:dyDescent="0.3">
      <c r="B13" s="9" t="s">
        <v>78</v>
      </c>
      <c r="C13" s="9"/>
      <c r="D13" s="9"/>
      <c r="E13" s="9"/>
      <c r="F13" s="17"/>
      <c r="G13" s="17"/>
      <c r="H13" s="18"/>
      <c r="I13" s="17" t="s">
        <v>119</v>
      </c>
      <c r="J13" s="17" t="s">
        <v>120</v>
      </c>
      <c r="K13" s="17" t="s">
        <v>121</v>
      </c>
      <c r="L13" s="17" t="s">
        <v>79</v>
      </c>
      <c r="M13" s="17" t="s">
        <v>80</v>
      </c>
      <c r="N13" s="17"/>
      <c r="P13" s="36" t="s">
        <v>86</v>
      </c>
      <c r="Q13" s="36"/>
      <c r="R13" s="36"/>
      <c r="S13" s="36"/>
      <c r="T13" s="36"/>
      <c r="U13" s="36"/>
      <c r="V13" s="36"/>
      <c r="W13" s="36"/>
      <c r="X13" s="36"/>
    </row>
    <row r="14" spans="1:24" x14ac:dyDescent="0.25">
      <c r="B14" s="20" t="str">
        <f>R14</f>
        <v>ELCTNCOA01</v>
      </c>
      <c r="C14" s="20" t="s">
        <v>83</v>
      </c>
      <c r="D14" s="20" t="s">
        <v>49</v>
      </c>
      <c r="F14" s="23">
        <v>2023</v>
      </c>
      <c r="G14" s="24">
        <v>0.42</v>
      </c>
      <c r="H14" s="24">
        <v>0.85</v>
      </c>
      <c r="I14" s="20">
        <v>1650</v>
      </c>
      <c r="J14" s="24">
        <v>30</v>
      </c>
      <c r="K14" s="24">
        <v>0.4</v>
      </c>
      <c r="L14" s="20">
        <v>40</v>
      </c>
      <c r="M14" s="20">
        <v>31.536000000000001</v>
      </c>
      <c r="N14" s="24">
        <v>1</v>
      </c>
      <c r="P14" s="38" t="s">
        <v>81</v>
      </c>
      <c r="Q14" s="38"/>
      <c r="R14" s="38" t="s">
        <v>92</v>
      </c>
      <c r="S14" s="38" t="s">
        <v>89</v>
      </c>
      <c r="T14" s="38" t="s">
        <v>52</v>
      </c>
      <c r="U14" s="38" t="s">
        <v>53</v>
      </c>
      <c r="V14" s="33" t="s">
        <v>82</v>
      </c>
      <c r="W14" s="38"/>
      <c r="X14" s="38"/>
    </row>
    <row r="15" spans="1:24" x14ac:dyDescent="0.25">
      <c r="B15" s="20" t="str">
        <f>R15</f>
        <v>ELCTNOIL01</v>
      </c>
      <c r="C15" s="20" t="s">
        <v>85</v>
      </c>
      <c r="D15" s="20" t="s">
        <v>49</v>
      </c>
      <c r="F15" s="20">
        <v>2023</v>
      </c>
      <c r="G15" s="24">
        <v>0.3</v>
      </c>
      <c r="H15" s="24">
        <v>0.85</v>
      </c>
      <c r="I15" s="20">
        <v>250</v>
      </c>
      <c r="J15" s="24">
        <v>20</v>
      </c>
      <c r="K15" s="24">
        <v>0.2</v>
      </c>
      <c r="L15" s="20">
        <v>40</v>
      </c>
      <c r="M15" s="20">
        <v>31.536000000000001</v>
      </c>
      <c r="N15" s="24">
        <v>1</v>
      </c>
      <c r="P15" s="38" t="s">
        <v>81</v>
      </c>
      <c r="Q15" s="38"/>
      <c r="R15" s="38" t="s">
        <v>94</v>
      </c>
      <c r="S15" s="38" t="s">
        <v>91</v>
      </c>
      <c r="T15" s="38" t="s">
        <v>52</v>
      </c>
      <c r="U15" s="38" t="s">
        <v>53</v>
      </c>
      <c r="V15" s="38"/>
      <c r="W15" s="38"/>
      <c r="X15" s="38"/>
    </row>
    <row r="16" spans="1:24" x14ac:dyDescent="0.25">
      <c r="B16" s="20" t="str">
        <f>R16</f>
        <v>ELCTNGAS01</v>
      </c>
      <c r="C16" s="20" t="s">
        <v>84</v>
      </c>
      <c r="D16" s="20" t="s">
        <v>49</v>
      </c>
      <c r="E16" s="20">
        <v>2027</v>
      </c>
      <c r="F16" s="20">
        <v>2027</v>
      </c>
      <c r="G16" s="24">
        <v>0.5</v>
      </c>
      <c r="H16" s="24">
        <v>0.85</v>
      </c>
      <c r="I16" s="20">
        <v>1100</v>
      </c>
      <c r="J16" s="24">
        <v>30</v>
      </c>
      <c r="K16" s="24">
        <v>0.35</v>
      </c>
      <c r="L16" s="20">
        <v>40</v>
      </c>
      <c r="M16" s="20">
        <v>31.536000000000001</v>
      </c>
      <c r="N16" s="24">
        <v>1</v>
      </c>
      <c r="P16" s="38" t="s">
        <v>81</v>
      </c>
      <c r="Q16" s="38"/>
      <c r="R16" s="38" t="s">
        <v>93</v>
      </c>
      <c r="S16" s="38" t="s">
        <v>90</v>
      </c>
      <c r="T16" s="38" t="s">
        <v>52</v>
      </c>
      <c r="U16" s="38" t="s">
        <v>53</v>
      </c>
      <c r="V16" s="38"/>
      <c r="W16" s="38"/>
      <c r="X16" s="38" t="s">
        <v>88</v>
      </c>
    </row>
    <row r="17" spans="2:24" x14ac:dyDescent="0.25">
      <c r="E17" s="20">
        <v>2035</v>
      </c>
      <c r="G17" s="24">
        <v>0.51</v>
      </c>
      <c r="H17" s="24"/>
      <c r="J17" s="24"/>
      <c r="K17" s="24"/>
      <c r="N17" s="24"/>
      <c r="P17" s="38" t="s">
        <v>81</v>
      </c>
      <c r="Q17" s="38"/>
      <c r="R17" s="38" t="s">
        <v>95</v>
      </c>
      <c r="S17" s="38" t="s">
        <v>99</v>
      </c>
      <c r="T17" s="38" t="s">
        <v>52</v>
      </c>
      <c r="U17" s="38" t="s">
        <v>53</v>
      </c>
      <c r="V17" s="38"/>
      <c r="W17" s="38"/>
      <c r="X17" s="38"/>
    </row>
    <row r="18" spans="2:24" x14ac:dyDescent="0.25">
      <c r="E18" s="20">
        <v>2040</v>
      </c>
      <c r="G18" s="24">
        <v>0.52</v>
      </c>
      <c r="H18" s="24"/>
      <c r="J18" s="24"/>
      <c r="K18" s="24"/>
      <c r="N18" s="24"/>
      <c r="P18" s="38" t="s">
        <v>81</v>
      </c>
      <c r="Q18" s="38"/>
      <c r="R18" s="38" t="s">
        <v>96</v>
      </c>
      <c r="S18" s="38" t="s">
        <v>100</v>
      </c>
      <c r="T18" s="38" t="s">
        <v>52</v>
      </c>
      <c r="U18" s="38" t="s">
        <v>53</v>
      </c>
      <c r="V18" s="38"/>
      <c r="W18" s="38"/>
      <c r="X18" s="38"/>
    </row>
    <row r="19" spans="2:24" ht="13.5" customHeight="1" x14ac:dyDescent="0.25">
      <c r="E19" s="20">
        <v>2045</v>
      </c>
      <c r="G19" s="24">
        <v>0.55000000000000004</v>
      </c>
      <c r="H19" s="24"/>
      <c r="J19" s="24"/>
      <c r="K19" s="24"/>
      <c r="N19" s="24"/>
      <c r="P19" s="38" t="s">
        <v>81</v>
      </c>
      <c r="Q19" s="38"/>
      <c r="R19" s="38" t="s">
        <v>97</v>
      </c>
      <c r="S19" s="38" t="s">
        <v>101</v>
      </c>
      <c r="T19" s="38" t="s">
        <v>52</v>
      </c>
      <c r="U19" s="38" t="s">
        <v>53</v>
      </c>
      <c r="V19" s="38"/>
      <c r="W19" s="38"/>
      <c r="X19" s="38"/>
    </row>
    <row r="20" spans="2:24" ht="13.5" customHeight="1" x14ac:dyDescent="0.25">
      <c r="B20" s="20" t="str">
        <f t="shared" ref="B20:B21" si="0">R17</f>
        <v>ELCRNBIO01</v>
      </c>
      <c r="C20" s="20" t="s">
        <v>103</v>
      </c>
      <c r="D20" s="20" t="s">
        <v>49</v>
      </c>
      <c r="F20" s="20">
        <v>2028</v>
      </c>
      <c r="G20" s="24">
        <v>0.35</v>
      </c>
      <c r="H20" s="24">
        <v>0.6</v>
      </c>
      <c r="I20" s="20">
        <v>2500</v>
      </c>
      <c r="J20" s="20">
        <v>30</v>
      </c>
      <c r="K20" s="24">
        <v>0.35</v>
      </c>
      <c r="L20" s="20">
        <v>25</v>
      </c>
      <c r="M20" s="20">
        <v>31.536000000000001</v>
      </c>
      <c r="N20" s="24">
        <v>1</v>
      </c>
      <c r="P20" s="38" t="s">
        <v>81</v>
      </c>
      <c r="Q20" s="38"/>
      <c r="R20" s="38" t="s">
        <v>98</v>
      </c>
      <c r="S20" s="38" t="s">
        <v>102</v>
      </c>
      <c r="T20" s="38" t="s">
        <v>52</v>
      </c>
      <c r="U20" s="38" t="s">
        <v>53</v>
      </c>
      <c r="V20" s="38"/>
      <c r="W20" s="38"/>
      <c r="X20" s="38"/>
    </row>
    <row r="21" spans="2:24" x14ac:dyDescent="0.25">
      <c r="B21" s="20" t="str">
        <f t="shared" si="0"/>
        <v>ELCRNHYD01</v>
      </c>
      <c r="C21" s="20" t="s">
        <v>104</v>
      </c>
      <c r="D21" s="20" t="s">
        <v>49</v>
      </c>
      <c r="F21" s="20">
        <v>2026</v>
      </c>
      <c r="G21" s="24">
        <v>1</v>
      </c>
      <c r="H21" s="24">
        <v>0.5</v>
      </c>
      <c r="I21" s="20">
        <v>3000</v>
      </c>
      <c r="J21" s="20">
        <v>35</v>
      </c>
      <c r="K21" s="24">
        <v>2</v>
      </c>
      <c r="L21" s="20">
        <v>50</v>
      </c>
      <c r="M21" s="20">
        <v>31.536000000000001</v>
      </c>
      <c r="N21" s="24">
        <v>0.35</v>
      </c>
      <c r="P21" s="38" t="s">
        <v>81</v>
      </c>
      <c r="R21" s="20" t="s">
        <v>113</v>
      </c>
      <c r="S21" s="38" t="s">
        <v>114</v>
      </c>
      <c r="T21" s="38" t="s">
        <v>52</v>
      </c>
      <c r="U21" s="38" t="s">
        <v>53</v>
      </c>
      <c r="V21" s="33" t="s">
        <v>122</v>
      </c>
      <c r="W21" s="38"/>
      <c r="X21" s="38"/>
    </row>
    <row r="22" spans="2:24" x14ac:dyDescent="0.25">
      <c r="G22" s="24"/>
      <c r="H22" s="24"/>
      <c r="K22" s="24"/>
      <c r="N22" s="24"/>
      <c r="P22" s="38" t="s">
        <v>81</v>
      </c>
      <c r="R22" s="20" t="s">
        <v>115</v>
      </c>
      <c r="S22" s="38" t="s">
        <v>116</v>
      </c>
      <c r="T22" s="38" t="s">
        <v>52</v>
      </c>
      <c r="U22" s="38" t="s">
        <v>53</v>
      </c>
      <c r="V22" s="33" t="s">
        <v>82</v>
      </c>
    </row>
    <row r="23" spans="2:24" x14ac:dyDescent="0.25">
      <c r="G23" s="24"/>
      <c r="H23" s="24"/>
      <c r="K23" s="24"/>
      <c r="N23" s="24"/>
      <c r="P23" s="38" t="s">
        <v>81</v>
      </c>
      <c r="R23" s="20" t="s">
        <v>117</v>
      </c>
      <c r="S23" s="38" t="s">
        <v>118</v>
      </c>
      <c r="T23" s="38" t="s">
        <v>52</v>
      </c>
      <c r="U23" s="38" t="s">
        <v>53</v>
      </c>
      <c r="V23" s="33" t="s">
        <v>82</v>
      </c>
    </row>
    <row r="24" spans="2:24" x14ac:dyDescent="0.25">
      <c r="G24" s="24"/>
      <c r="H24" s="24"/>
      <c r="K24" s="24"/>
      <c r="N24" s="24"/>
    </row>
    <row r="25" spans="2:24" x14ac:dyDescent="0.25">
      <c r="G25" s="24"/>
      <c r="H25" s="24"/>
      <c r="K25" s="24"/>
      <c r="N25" s="24"/>
    </row>
    <row r="26" spans="2:24" x14ac:dyDescent="0.25">
      <c r="G26" s="24"/>
      <c r="K26" s="24"/>
      <c r="R26" s="20"/>
      <c r="S26" s="20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30" bestFit="1" customWidth="1"/>
    <col min="2" max="12" width="9.109375" style="30"/>
    <col min="13" max="13" width="5" style="30" customWidth="1"/>
    <col min="14" max="15" width="2" style="30" bestFit="1" customWidth="1"/>
    <col min="16" max="26" width="9.109375" style="30"/>
    <col min="27" max="27" width="2" style="30" customWidth="1"/>
    <col min="28" max="28" width="2.33203125" style="30" bestFit="1" customWidth="1"/>
    <col min="29" max="16384" width="9.109375" style="30"/>
  </cols>
  <sheetData>
    <row r="2" spans="2:29" x14ac:dyDescent="0.25">
      <c r="B2" s="31" t="s">
        <v>105</v>
      </c>
      <c r="P2" s="31" t="s">
        <v>106</v>
      </c>
      <c r="AC2" s="31" t="s">
        <v>107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ELC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