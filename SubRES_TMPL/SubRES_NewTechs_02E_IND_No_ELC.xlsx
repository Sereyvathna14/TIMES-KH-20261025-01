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4\SubRES_TMPL\"/>
    </mc:Choice>
  </mc:AlternateContent>
  <xr:revisionPtr revIDLastSave="0" documentId="13_ncr:1_{4EE171D0-3184-4AB8-A0FC-A4F55E41C8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D" sheetId="8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14" i="8" l="1"/>
  <c r="B15" i="8"/>
  <c r="B18" i="8"/>
  <c r="B19" i="8"/>
  <c r="B20" i="8"/>
  <c r="D4" i="8" l="1"/>
</calcChain>
</file>

<file path=xl/sharedStrings.xml><?xml version="1.0" encoding="utf-8"?>
<sst xmlns="http://schemas.openxmlformats.org/spreadsheetml/2006/main" count="148" uniqueCount="106">
  <si>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</si>
  <si>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</si>
  <si>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</si>
  <si>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</si>
  <si>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</si>
  <si>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</si>
  <si>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</si>
  <si>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</si>
  <si>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</si>
  <si>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</si>
  <si>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</si>
  <si>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</si>
  <si>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</si>
  <si>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</si>
  <si>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</si>
  <si>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</si>
  <si>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</si>
  <si>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</si>
  <si>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</si>
  <si>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</si>
  <si>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</si>
  <si>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</si>
  <si>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</si>
  <si>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</si>
  <si>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</si>
  <si>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</si>
  <si>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</si>
  <si>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</si>
  <si>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</si>
  <si>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</si>
  <si>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</si>
  <si>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</si>
  <si>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</si>
  <si>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</si>
  <si>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</si>
  <si>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</si>
  <si>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Efficiency</t>
  </si>
  <si>
    <t>Capacity to Activity Factor</t>
  </si>
  <si>
    <t>INVCOST</t>
  </si>
  <si>
    <t>Fixed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</si>
  <si>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</si>
  <si>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</si>
  <si>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</si>
  <si>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</si>
  <si>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</si>
  <si>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</si>
  <si>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</si>
  <si>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PJ</t>
  </si>
  <si>
    <t>N</t>
  </si>
  <si>
    <t>Region</t>
  </si>
  <si>
    <t>*Commodity Set Membership</t>
  </si>
  <si>
    <t>Region Name</t>
  </si>
  <si>
    <t>Sense of the Balance EQN.</t>
  </si>
  <si>
    <t>Timeslice Level</t>
  </si>
  <si>
    <t>LIFE</t>
  </si>
  <si>
    <t>*Technology Name</t>
  </si>
  <si>
    <t>Utilisation Factor</t>
  </si>
  <si>
    <t>Invesctment Cost</t>
  </si>
  <si>
    <t>*Process Set Membership</t>
  </si>
  <si>
    <t>TimeSlice level of Process Activity</t>
  </si>
  <si>
    <t>Primary Commodity Group</t>
  </si>
  <si>
    <t>*Units</t>
  </si>
  <si>
    <t>Years</t>
  </si>
  <si>
    <t>DMD</t>
  </si>
  <si>
    <t>PJa</t>
  </si>
  <si>
    <t>Transport</t>
  </si>
  <si>
    <t>*</t>
  </si>
  <si>
    <t>IND</t>
  </si>
  <si>
    <t>Pja</t>
  </si>
  <si>
    <t>Capacity Unit/PJ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</si>
  <si>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</si>
  <si>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</si>
  <si>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</si>
  <si>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CAP2ACT</t>
  </si>
  <si>
    <t>Lifetime</t>
  </si>
  <si>
    <t>M$2021</t>
  </si>
  <si>
    <t>M$/Capacity Unit</t>
  </si>
  <si>
    <t>M$/Capacity unit</t>
  </si>
  <si>
    <t>INDELC</t>
  </si>
  <si>
    <t>IBOILNCOA</t>
  </si>
  <si>
    <t>IBOILNBIO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</si>
  <si>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</si>
  <si>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</si>
  <si>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</si>
  <si>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</si>
  <si>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</si>
  <si>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</si>
  <si>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</si>
  <si>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</si>
  <si>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</si>
  <si>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</si>
  <si>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</si>
  <si>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</si>
  <si>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</si>
  <si>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</si>
  <si>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</si>
  <si>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</si>
  <si>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</si>
  <si>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</si>
  <si>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</si>
  <si>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</si>
  <si>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DICOMP</t>
  </si>
  <si>
    <t>DIPUMP</t>
  </si>
  <si>
    <t>DIMOTO</t>
  </si>
  <si>
    <t>IOAPPNDSL</t>
  </si>
  <si>
    <t>Demand Technologies Industry Sector - New Other Appliance -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</si>
</sst>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7" formatCode="\Te\x\t"/>
  </numFmts>
  <fonts count="26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8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1" fontId="14" fillId="0" borderId="0" applyNumberFormat="0" applyAlignment="0" applyProtection="0">
      <alignment horizontal="center"/>
    </xf>
    <xf numFmtId="0" fontId="15" fillId="0" borderId="4" applyNumberFormat="0" applyFill="0" applyAlignment="0" applyProtection="0"/>
    <xf numFmtId="164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0" fontId="4" fillId="6" borderId="5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  <xf numFmtId="0" fontId="24" fillId="0" borderId="0"/>
  </cellStyleXfs>
  <cellXfs count="38">
    <xf numFmtId="0" fontId="0" fillId="0" borderId="0" xfId="0"/>
    <xf numFmtId="0" fontId="18" fillId="0" borderId="0" xfId="0" applyFont="1"/>
    <xf numFmtId="0" fontId="4" fillId="0" borderId="0" xfId="0" applyFont="1"/>
    <xf numFmtId="0" fontId="3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4" fillId="0" borderId="0" xfId="31" applyAlignment="1">
      <alignment horizontal="left"/>
    </xf>
    <xf numFmtId="0" fontId="13" fillId="4" borderId="0" xfId="2"/>
    <xf numFmtId="0" fontId="19" fillId="7" borderId="0" xfId="13" applyFont="1" applyFill="1"/>
    <xf numFmtId="0" fontId="20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19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0" fillId="3" borderId="1" xfId="1" applyFont="1" applyBorder="1" applyAlignment="1">
      <alignment horizontal="right" wrapText="1"/>
    </xf>
    <xf numFmtId="0" fontId="20" fillId="3" borderId="3" xfId="1" applyFont="1" applyBorder="1" applyAlignment="1">
      <alignment horizontal="right" wrapText="1"/>
    </xf>
    <xf numFmtId="0" fontId="13" fillId="4" borderId="0" xfId="2" applyAlignment="1">
      <alignment wrapText="1"/>
    </xf>
    <xf numFmtId="0" fontId="4" fillId="0" borderId="0" xfId="16"/>
    <xf numFmtId="0" fontId="22" fillId="0" borderId="0" xfId="13" applyFont="1" applyFill="1"/>
    <xf numFmtId="0" fontId="23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19" fillId="0" borderId="0" xfId="13" applyFont="1" applyFill="1"/>
    <xf numFmtId="0" fontId="21" fillId="0" borderId="0" xfId="0" applyFont="1"/>
    <xf numFmtId="0" fontId="13" fillId="0" borderId="0" xfId="2" applyFill="1"/>
    <xf numFmtId="0" fontId="5" fillId="0" borderId="0" xfId="0" applyFont="1" applyAlignment="1">
      <alignment horizontal="left"/>
    </xf>
    <xf numFmtId="0" fontId="5" fillId="2" borderId="1" xfId="31" applyFont="1" applyFill="1" applyBorder="1" applyAlignment="1">
      <alignment horizontal="center" vertical="center" wrapText="1"/>
    </xf>
    <xf numFmtId="0" fontId="0" fillId="8" borderId="0" xfId="0" applyFill="1"/>
    <xf numFmtId="0" fontId="1" fillId="8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0" fillId="3" borderId="2" xfId="1" applyNumberFormat="1" applyFont="1" applyBorder="1" applyAlignment="1">
      <alignment horizontal="left" wrapText="1"/>
    </xf>
    <xf numFmtId="167" fontId="0" fillId="0" borderId="0" xfId="0" applyNumberFormat="1"/>
    <xf numFmtId="0" fontId="20" fillId="3" borderId="0" xfId="1" applyFont="1" applyBorder="1" applyAlignment="1">
      <alignment horizontal="right" wrapText="1"/>
    </xf>
    <xf numFmtId="0" fontId="20" fillId="3" borderId="0" xfId="1" applyFont="1" applyBorder="1" applyAlignment="1">
      <alignment horizontal="center" wrapText="1"/>
    </xf>
    <xf numFmtId="49" fontId="25" fillId="9" borderId="6" xfId="57" applyNumberFormat="1" applyFont="1" applyFill="1" applyBorder="1" applyAlignment="1">
      <alignment horizontal="left" vertical="center"/>
    </xf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tabSelected="1" topLeftCell="B7" zoomScale="90" zoomScaleNormal="90" workbookViewId="0">
      <selection activeCell="E28" sqref="E28"/>
    </sheetView>
  </sheetViews>
  <sheetFormatPr defaultRowHeight="13.2" x14ac:dyDescent="0.25"/>
  <cols>
    <col min="1" max="1" width="3" style="17" customWidth="1"/>
    <col min="2" max="2" width="16.5546875" style="17" bestFit="1" customWidth="1"/>
    <col min="3" max="3" width="18.33203125" style="17" customWidth="1"/>
    <col min="4" max="4" width="15.33203125" style="17" customWidth="1"/>
    <col min="5" max="5" width="11.88671875" style="17" bestFit="1" customWidth="1"/>
    <col min="6" max="6" width="12.6640625" style="17" bestFit="1" customWidth="1"/>
    <col min="7" max="8" width="13.109375" style="17" bestFit="1" customWidth="1"/>
    <col min="9" max="9" width="9.6640625" style="17" customWidth="1"/>
    <col min="10" max="10" width="8.88671875" style="17" customWidth="1"/>
    <col min="11" max="11" width="8.33203125" style="17" customWidth="1"/>
    <col min="12" max="12" width="8.6640625" style="17" customWidth="1"/>
    <col min="13" max="13" width="12.109375" style="17" bestFit="1" customWidth="1"/>
    <col min="14" max="14" width="9.44140625" style="17" bestFit="1" customWidth="1"/>
    <col min="15" max="15" width="14.33203125" style="17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40</v>
      </c>
    </row>
    <row r="2" spans="1:21" x14ac:dyDescent="0.25">
      <c r="P2" s="25"/>
      <c r="Q2" s="25"/>
      <c r="R2" s="25"/>
      <c r="S2" s="25"/>
      <c r="T2" s="25"/>
      <c r="U2" s="25"/>
    </row>
    <row r="3" spans="1:21" ht="14.4" x14ac:dyDescent="0.3">
      <c r="B3" s="16" t="s">
        <v>41</v>
      </c>
      <c r="C3" s="7" t="s">
        <v>42</v>
      </c>
      <c r="D3" s="7" t="s">
        <v>43</v>
      </c>
      <c r="E3" s="16" t="s">
        <v>30</v>
      </c>
      <c r="F3" s="16" t="s">
        <v>44</v>
      </c>
      <c r="G3" s="16" t="s">
        <v>45</v>
      </c>
      <c r="I3" s="16" t="s">
        <v>46</v>
      </c>
    </row>
    <row r="4" spans="1:21" ht="31.2" x14ac:dyDescent="0.3">
      <c r="B4" s="8" t="s">
        <v>67</v>
      </c>
      <c r="C4" s="8" t="s">
        <v>65</v>
      </c>
      <c r="D4" s="11" t="str">
        <f>"Demand Technologies"</f>
        <v>Demand Technologies</v>
      </c>
      <c r="E4" s="8" t="s">
        <v>47</v>
      </c>
      <c r="F4" s="8" t="s">
        <v>68</v>
      </c>
      <c r="G4" s="8" t="s">
        <v>75</v>
      </c>
      <c r="I4" s="8" t="s">
        <v>48</v>
      </c>
      <c r="M4" s="29" t="s">
        <v>7</v>
      </c>
      <c r="N4" s="29"/>
      <c r="O4" s="30"/>
      <c r="P4" s="30"/>
      <c r="Q4" s="30"/>
      <c r="R4" s="30"/>
      <c r="S4" s="30"/>
      <c r="T4" s="30"/>
      <c r="U4" s="30"/>
    </row>
    <row r="5" spans="1:21" x14ac:dyDescent="0.25">
      <c r="M5" s="31" t="s">
        <v>8</v>
      </c>
      <c r="N5" s="32" t="s">
        <v>49</v>
      </c>
      <c r="O5" s="31" t="s">
        <v>6</v>
      </c>
      <c r="P5" s="31" t="s">
        <v>9</v>
      </c>
      <c r="Q5" s="31" t="s">
        <v>10</v>
      </c>
      <c r="R5" s="31" t="s">
        <v>11</v>
      </c>
      <c r="S5" s="31" t="s">
        <v>12</v>
      </c>
      <c r="T5" s="31" t="s">
        <v>13</v>
      </c>
      <c r="U5" s="31" t="s">
        <v>14</v>
      </c>
    </row>
    <row r="6" spans="1:21" ht="22.2" thickBot="1" x14ac:dyDescent="0.35">
      <c r="B6" s="19"/>
      <c r="C6" s="24"/>
      <c r="D6" s="24"/>
      <c r="E6" s="24"/>
      <c r="F6" s="24"/>
      <c r="H6" s="24"/>
      <c r="M6" s="33" t="s">
        <v>50</v>
      </c>
      <c r="N6" s="33" t="s">
        <v>51</v>
      </c>
      <c r="O6" s="33" t="s">
        <v>24</v>
      </c>
      <c r="P6" s="33" t="s">
        <v>25</v>
      </c>
      <c r="Q6" s="33" t="s">
        <v>10</v>
      </c>
      <c r="R6" s="33" t="s">
        <v>52</v>
      </c>
      <c r="S6" s="33" t="s">
        <v>53</v>
      </c>
      <c r="T6" s="33" t="s">
        <v>26</v>
      </c>
      <c r="U6" s="33" t="s">
        <v>27</v>
      </c>
    </row>
    <row r="7" spans="1:21" ht="15.6" x14ac:dyDescent="0.3">
      <c r="B7" s="18"/>
      <c r="C7" s="22"/>
      <c r="D7" s="22"/>
      <c r="E7" s="22"/>
      <c r="F7" s="22"/>
      <c r="H7" s="22"/>
      <c r="P7" s="2"/>
      <c r="R7" s="2"/>
      <c r="S7" s="2"/>
      <c r="T7" s="2"/>
      <c r="U7" s="2"/>
    </row>
    <row r="9" spans="1:21" x14ac:dyDescent="0.25">
      <c r="P9" s="3"/>
      <c r="Q9" s="3"/>
    </row>
    <row r="10" spans="1:21" x14ac:dyDescent="0.25">
      <c r="B10"/>
      <c r="C10"/>
      <c r="D10" s="5" t="s">
        <v>0</v>
      </c>
      <c r="E10" s="5"/>
      <c r="F10"/>
      <c r="G10" s="5"/>
      <c r="H10" s="5"/>
      <c r="I10" s="6"/>
      <c r="J10" s="4"/>
      <c r="K10" s="23"/>
      <c r="L10"/>
      <c r="M10" s="29" t="s">
        <v>18</v>
      </c>
      <c r="N10" s="29"/>
      <c r="O10" s="34"/>
      <c r="P10" s="34"/>
      <c r="Q10" s="34"/>
      <c r="R10" s="34"/>
      <c r="S10" s="34"/>
      <c r="T10" s="34"/>
      <c r="U10" s="34"/>
    </row>
    <row r="11" spans="1:21" x14ac:dyDescent="0.25">
      <c r="B11" s="10" t="s">
        <v>1</v>
      </c>
      <c r="C11" s="10" t="s">
        <v>3</v>
      </c>
      <c r="D11" s="10" t="s">
        <v>4</v>
      </c>
      <c r="E11" s="12" t="s">
        <v>15</v>
      </c>
      <c r="F11" s="13" t="s">
        <v>17</v>
      </c>
      <c r="G11" s="13" t="s">
        <v>35</v>
      </c>
      <c r="H11" s="26" t="s">
        <v>73</v>
      </c>
      <c r="I11" s="13" t="s">
        <v>38</v>
      </c>
      <c r="J11" s="13" t="s">
        <v>5</v>
      </c>
      <c r="K11" s="12" t="s">
        <v>54</v>
      </c>
      <c r="L11"/>
      <c r="M11" s="31" t="s">
        <v>16</v>
      </c>
      <c r="N11" s="32" t="s">
        <v>49</v>
      </c>
      <c r="O11" s="31" t="s">
        <v>1</v>
      </c>
      <c r="P11" s="31" t="s">
        <v>2</v>
      </c>
      <c r="Q11" s="31" t="s">
        <v>19</v>
      </c>
      <c r="R11" s="31" t="s">
        <v>20</v>
      </c>
      <c r="S11" s="31" t="s">
        <v>21</v>
      </c>
      <c r="T11" s="31" t="s">
        <v>22</v>
      </c>
      <c r="U11" s="31" t="s">
        <v>23</v>
      </c>
    </row>
    <row r="12" spans="1:21" ht="21.6" thickBot="1" x14ac:dyDescent="0.3">
      <c r="B12" s="9" t="s">
        <v>55</v>
      </c>
      <c r="C12" s="9" t="s">
        <v>33</v>
      </c>
      <c r="D12" s="9" t="s">
        <v>34</v>
      </c>
      <c r="E12" s="14"/>
      <c r="F12" s="14" t="s">
        <v>36</v>
      </c>
      <c r="G12" s="15" t="s">
        <v>56</v>
      </c>
      <c r="H12" s="15" t="s">
        <v>37</v>
      </c>
      <c r="I12" s="14" t="s">
        <v>57</v>
      </c>
      <c r="J12" s="14" t="s">
        <v>39</v>
      </c>
      <c r="K12" s="14" t="s">
        <v>74</v>
      </c>
      <c r="L12"/>
      <c r="M12" s="33" t="s">
        <v>58</v>
      </c>
      <c r="N12" s="33" t="s">
        <v>51</v>
      </c>
      <c r="O12" s="33" t="s">
        <v>28</v>
      </c>
      <c r="P12" s="33" t="s">
        <v>29</v>
      </c>
      <c r="Q12" s="33" t="s">
        <v>30</v>
      </c>
      <c r="R12" s="33" t="s">
        <v>31</v>
      </c>
      <c r="S12" s="33" t="s">
        <v>59</v>
      </c>
      <c r="T12" s="33" t="s">
        <v>60</v>
      </c>
      <c r="U12" s="33" t="s">
        <v>32</v>
      </c>
    </row>
    <row r="13" spans="1:21" ht="21.6" thickBot="1" x14ac:dyDescent="0.3">
      <c r="B13" s="9" t="s">
        <v>61</v>
      </c>
      <c r="C13" s="9"/>
      <c r="D13" s="9"/>
      <c r="E13" s="14"/>
      <c r="F13" s="14"/>
      <c r="G13" s="35"/>
      <c r="H13" s="36" t="s">
        <v>69</v>
      </c>
      <c r="I13" s="14" t="s">
        <v>76</v>
      </c>
      <c r="J13" s="14" t="s">
        <v>77</v>
      </c>
      <c r="K13" s="14" t="s">
        <v>62</v>
      </c>
      <c r="L13"/>
      <c r="M13" s="33" t="s">
        <v>66</v>
      </c>
      <c r="N13" s="33"/>
      <c r="O13" s="33"/>
      <c r="P13" s="33"/>
      <c r="Q13" s="33"/>
      <c r="R13" s="33"/>
      <c r="S13" s="33"/>
      <c r="T13" s="33"/>
      <c r="U13" s="33"/>
    </row>
    <row r="14" spans="1:21" x14ac:dyDescent="0.25">
      <c r="B14" t="str">
        <f t="shared" ref="B14:B20" si="0">O14</f>
        <v>IBOILNCOA</v>
      </c>
      <c r="C14" t="s">
        <v>84</v>
      </c>
      <c r="D14" s="34" t="s">
        <v>85</v>
      </c>
      <c r="E14" s="20">
        <v>2022</v>
      </c>
      <c r="F14" s="21">
        <v>0.9</v>
      </c>
      <c r="G14" s="21">
        <v>0.5</v>
      </c>
      <c r="H14" s="17">
        <v>31.536000000000001</v>
      </c>
      <c r="I14" s="17">
        <v>975</v>
      </c>
      <c r="J14"/>
      <c r="K14">
        <v>30</v>
      </c>
      <c r="L14"/>
      <c r="M14" s="30" t="s">
        <v>63</v>
      </c>
      <c r="N14" s="34"/>
      <c r="O14" s="30" t="s">
        <v>79</v>
      </c>
      <c r="P14" s="30" t="s">
        <v>88</v>
      </c>
      <c r="Q14" s="34" t="s">
        <v>47</v>
      </c>
      <c r="R14" s="34" t="s">
        <v>64</v>
      </c>
      <c r="S14" s="34"/>
      <c r="T14" s="34"/>
      <c r="U14" s="34"/>
    </row>
    <row r="15" spans="1:21" x14ac:dyDescent="0.25">
      <c r="B15" t="str">
        <f t="shared" si="0"/>
        <v>IBOILNBIO</v>
      </c>
      <c r="C15" t="s">
        <v>86</v>
      </c>
      <c r="D15" s="34" t="s">
        <v>85</v>
      </c>
      <c r="E15" s="20">
        <v>2022</v>
      </c>
      <c r="F15" s="21">
        <v>0.9</v>
      </c>
      <c r="G15" s="21">
        <v>0.5</v>
      </c>
      <c r="H15" s="17">
        <v>31.536000000000001</v>
      </c>
      <c r="I15" s="17">
        <v>500</v>
      </c>
      <c r="J15" s="20"/>
      <c r="K15">
        <v>30</v>
      </c>
      <c r="L15" s="2"/>
      <c r="M15" s="30" t="s">
        <v>63</v>
      </c>
      <c r="N15" s="34"/>
      <c r="O15" s="30" t="s">
        <v>80</v>
      </c>
      <c r="P15" s="30" t="s">
        <v>89</v>
      </c>
      <c r="Q15" s="34" t="s">
        <v>47</v>
      </c>
      <c r="R15" s="34" t="s">
        <v>64</v>
      </c>
      <c r="S15" s="34"/>
      <c r="T15" s="34"/>
      <c r="U15" s="34"/>
    </row>
    <row r="16" spans="1:21" x14ac:dyDescent="0.25">
      <c r="B16" s="34" t="s">
        <v>87</v>
      </c>
      <c r="C16" t="s">
        <v>94</v>
      </c>
      <c r="D16" s="34" t="s">
        <v>85</v>
      </c>
      <c r="E16" s="20">
        <v>2022</v>
      </c>
      <c r="F16" s="21">
        <v>0.9</v>
      </c>
      <c r="G16" s="21">
        <v>0.5</v>
      </c>
      <c r="H16" s="17">
        <v>31.536000000000001</v>
      </c>
      <c r="I16" s="17">
        <v>450</v>
      </c>
      <c r="J16" s="20"/>
      <c r="K16">
        <v>30</v>
      </c>
      <c r="L16" s="2"/>
      <c r="M16" s="30" t="s">
        <v>63</v>
      </c>
      <c r="N16" s="34"/>
      <c r="O16" s="34" t="s">
        <v>87</v>
      </c>
      <c r="P16" s="30" t="s">
        <v>93</v>
      </c>
      <c r="Q16" s="34" t="s">
        <v>47</v>
      </c>
      <c r="R16" s="34" t="s">
        <v>64</v>
      </c>
      <c r="S16" s="34"/>
      <c r="T16" s="34"/>
      <c r="U16" s="34"/>
    </row>
    <row r="17" spans="2:21" x14ac:dyDescent="0.25">
      <c r="B17" s="2" t="s">
        <v>96</v>
      </c>
      <c r="C17" t="s">
        <v>94</v>
      </c>
      <c r="D17" t="s">
        <v>95</v>
      </c>
      <c r="E17" s="20">
        <v>2022</v>
      </c>
      <c r="F17" s="21">
        <v>0.5</v>
      </c>
      <c r="G17" s="21">
        <v>0.5</v>
      </c>
      <c r="H17" s="17">
        <v>31.536000000000001</v>
      </c>
      <c r="I17" s="17">
        <v>500</v>
      </c>
      <c r="J17"/>
      <c r="K17">
        <v>10</v>
      </c>
      <c r="L17"/>
      <c r="M17" s="30" t="s">
        <v>63</v>
      </c>
      <c r="N17" s="34"/>
      <c r="O17" t="s">
        <v>96</v>
      </c>
      <c r="P17" s="30" t="s">
        <v>97</v>
      </c>
      <c r="Q17" s="34" t="s">
        <v>47</v>
      </c>
      <c r="R17" s="34" t="s">
        <v>64</v>
      </c>
      <c r="S17" s="34"/>
      <c r="T17" s="34"/>
      <c r="U17" s="34"/>
    </row>
    <row r="18" spans="2:21" x14ac:dyDescent="0.25">
      <c r="B18" t="str">
        <f t="shared" si="0"/>
        <v>ICOMPNELC</v>
      </c>
      <c r="C18" s="17" t="s">
        <v>78</v>
      </c>
      <c r="D18" t="s">
        <v>101</v>
      </c>
      <c r="E18" s="20">
        <v>2022</v>
      </c>
      <c r="F18" s="21">
        <v>1</v>
      </c>
      <c r="G18" s="21">
        <v>0.5</v>
      </c>
      <c r="H18" s="17">
        <v>31.536000000000001</v>
      </c>
      <c r="I18" s="17">
        <v>1340</v>
      </c>
      <c r="J18"/>
      <c r="K18">
        <v>15.5</v>
      </c>
      <c r="L18"/>
      <c r="M18" s="30" t="s">
        <v>63</v>
      </c>
      <c r="N18" s="34"/>
      <c r="O18" s="30" t="s">
        <v>81</v>
      </c>
      <c r="P18" s="30" t="s">
        <v>90</v>
      </c>
      <c r="Q18" s="34" t="s">
        <v>47</v>
      </c>
      <c r="R18" s="34" t="s">
        <v>64</v>
      </c>
      <c r="S18" s="34"/>
      <c r="T18" s="34"/>
      <c r="U18" s="34"/>
    </row>
    <row r="19" spans="2:21" x14ac:dyDescent="0.25">
      <c r="B19" t="str">
        <f t="shared" si="0"/>
        <v>IPUMPNELC</v>
      </c>
      <c r="C19" s="17" t="s">
        <v>78</v>
      </c>
      <c r="D19" t="s">
        <v>102</v>
      </c>
      <c r="E19" s="20">
        <v>2022</v>
      </c>
      <c r="F19" s="21">
        <v>0.7</v>
      </c>
      <c r="G19" s="21">
        <v>0.5</v>
      </c>
      <c r="H19" s="17">
        <v>31.536000000000001</v>
      </c>
      <c r="I19" s="17">
        <v>1700</v>
      </c>
      <c r="J19"/>
      <c r="K19">
        <v>10</v>
      </c>
      <c r="L19"/>
      <c r="M19" s="30" t="s">
        <v>63</v>
      </c>
      <c r="N19" s="34"/>
      <c r="O19" s="30" t="s">
        <v>82</v>
      </c>
      <c r="P19" s="30" t="s">
        <v>91</v>
      </c>
      <c r="Q19" s="34" t="s">
        <v>47</v>
      </c>
      <c r="R19" s="34" t="s">
        <v>64</v>
      </c>
      <c r="S19" s="34"/>
      <c r="T19" s="34"/>
      <c r="U19" s="34"/>
    </row>
    <row r="20" spans="2:21" x14ac:dyDescent="0.25">
      <c r="B20" t="str">
        <f t="shared" si="0"/>
        <v>IMOTONELC</v>
      </c>
      <c r="C20" s="17" t="s">
        <v>78</v>
      </c>
      <c r="D20" s="17" t="s">
        <v>103</v>
      </c>
      <c r="E20" s="20">
        <v>2022</v>
      </c>
      <c r="F20" s="21">
        <v>0.95</v>
      </c>
      <c r="G20" s="21">
        <v>0.5</v>
      </c>
      <c r="H20" s="17">
        <v>31.536000000000001</v>
      </c>
      <c r="I20" s="17">
        <v>120</v>
      </c>
      <c r="J20" s="20"/>
      <c r="K20">
        <v>10</v>
      </c>
      <c r="M20" s="17" t="s">
        <v>63</v>
      </c>
      <c r="O20" s="17" t="s">
        <v>83</v>
      </c>
      <c r="P20" t="s">
        <v>92</v>
      </c>
      <c r="Q20" t="s">
        <v>47</v>
      </c>
      <c r="R20" t="s">
        <v>64</v>
      </c>
    </row>
    <row r="21" spans="2:21" x14ac:dyDescent="0.25">
      <c r="B21" s="17" t="s">
        <v>99</v>
      </c>
      <c r="C21" s="17" t="s">
        <v>78</v>
      </c>
      <c r="D21" s="17" t="s">
        <v>98</v>
      </c>
      <c r="E21" s="20">
        <v>2022</v>
      </c>
      <c r="F21" s="17">
        <v>0.5</v>
      </c>
      <c r="G21" s="17">
        <v>0.5</v>
      </c>
      <c r="H21" s="17">
        <v>31.536000000000001</v>
      </c>
      <c r="I21" s="17">
        <v>100</v>
      </c>
      <c r="K21" s="17">
        <v>10</v>
      </c>
      <c r="M21" s="17" t="s">
        <v>63</v>
      </c>
      <c r="O21" s="17" t="s">
        <v>99</v>
      </c>
      <c r="P21" t="s">
        <v>100</v>
      </c>
      <c r="Q21" t="s">
        <v>47</v>
      </c>
      <c r="R21" t="s">
        <v>64</v>
      </c>
    </row>
    <row r="22" spans="2:21" x14ac:dyDescent="0.25">
      <c r="B22" s="17" t="s">
        <v>104</v>
      </c>
      <c r="C22" t="s">
        <v>94</v>
      </c>
      <c r="D22" s="17" t="s">
        <v>98</v>
      </c>
      <c r="E22" s="20">
        <v>2022</v>
      </c>
      <c r="F22" s="17">
        <v>0.5</v>
      </c>
      <c r="G22" s="17">
        <v>0.5</v>
      </c>
      <c r="H22" s="17">
        <v>31.536000000000001</v>
      </c>
      <c r="I22" s="17">
        <v>100</v>
      </c>
      <c r="K22" s="17">
        <v>10</v>
      </c>
      <c r="M22" s="17" t="s">
        <v>63</v>
      </c>
      <c r="O22" s="17" t="s">
        <v>104</v>
      </c>
      <c r="P22" s="2" t="s">
        <v>105</v>
      </c>
      <c r="Q22" t="s">
        <v>47</v>
      </c>
      <c r="R22" t="s">
        <v>64</v>
      </c>
    </row>
    <row r="23" spans="2:21" x14ac:dyDescent="0.25">
      <c r="P23" s="2"/>
    </row>
    <row r="27" spans="2:21" x14ac:dyDescent="0.25">
      <c r="D27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27" bestFit="1" customWidth="1"/>
    <col min="2" max="12" width="9.109375" style="27"/>
    <col min="13" max="13" width="5" style="27" customWidth="1"/>
    <col min="14" max="15" width="2" style="27" bestFit="1" customWidth="1"/>
    <col min="16" max="26" width="9.109375" style="27"/>
    <col min="27" max="27" width="2" style="27" customWidth="1"/>
    <col min="28" max="28" width="2.33203125" style="27" bestFit="1" customWidth="1"/>
    <col min="29" max="16384" width="9.109375" style="27"/>
  </cols>
  <sheetData>
    <row r="2" spans="2:29" x14ac:dyDescent="0.25">
      <c r="B2" s="28" t="s">
        <v>70</v>
      </c>
      <c r="P2" s="28" t="s">
        <v>71</v>
      </c>
      <c r="AC2" s="28" t="s">
        <v>72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2026-06-04T02:18:27Z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